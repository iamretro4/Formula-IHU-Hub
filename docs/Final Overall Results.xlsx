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Sheet2" sheetId="2" r:id="rId6"/>
    <sheet state="visible" name="E88" sheetId="3" r:id="rId7"/>
    <sheet state="visible" name="E11" sheetId="4" r:id="rId8"/>
    <sheet state="visible" name="E05" sheetId="5" r:id="rId9"/>
    <sheet state="visible" name="E76" sheetId="6" r:id="rId10"/>
    <sheet state="visible" name="E77" sheetId="7" r:id="rId11"/>
    <sheet state="visible" name="E45" sheetId="8" r:id="rId12"/>
    <sheet state="visible" name="C33" sheetId="9" r:id="rId13"/>
    <sheet state="visible" name="C12" sheetId="10" r:id="rId14"/>
    <sheet state="visible" name="C09" sheetId="11" r:id="rId15"/>
    <sheet state="visible" name="C55" sheetId="12" r:id="rId16"/>
    <sheet state="visible" name="C20" sheetId="13" r:id="rId17"/>
    <sheet state="visible" name="Acceleration" sheetId="14" r:id="rId18"/>
    <sheet state="visible" name="Skid Pad" sheetId="15" r:id="rId19"/>
    <sheet state="visible" name="Autocross" sheetId="16" r:id="rId20"/>
    <sheet state="visible" name="Endurance" sheetId="17" r:id="rId21"/>
    <sheet state="visible" name="Efficiency" sheetId="18" r:id="rId22"/>
    <sheet state="visible" name="Engineering Design" sheetId="19" r:id="rId23"/>
    <sheet state="visible" name="Cost &amp; Manufacturing" sheetId="20" r:id="rId24"/>
    <sheet state="visible" name="Buisness Plan " sheetId="21" r:id="rId25"/>
  </sheets>
  <definedNames/>
  <calcPr/>
</workbook>
</file>

<file path=xl/sharedStrings.xml><?xml version="1.0" encoding="utf-8"?>
<sst xmlns="http://schemas.openxmlformats.org/spreadsheetml/2006/main" count="532" uniqueCount="60">
  <si>
    <t>Vehicle Number</t>
  </si>
  <si>
    <t>Team Name</t>
  </si>
  <si>
    <t>Score</t>
  </si>
  <si>
    <t>Design Top 3 CV</t>
  </si>
  <si>
    <t>Design Top 3 EV</t>
  </si>
  <si>
    <t>Cost Top 3 CV</t>
  </si>
  <si>
    <t>CostTop 3 EV</t>
  </si>
  <si>
    <t>BP CV</t>
  </si>
  <si>
    <t>BP EV</t>
  </si>
  <si>
    <t>E88</t>
  </si>
  <si>
    <t>Democritus Racing Team</t>
  </si>
  <si>
    <t>ART</t>
  </si>
  <si>
    <t>Centaurus</t>
  </si>
  <si>
    <t>FUC</t>
  </si>
  <si>
    <t>Perseus</t>
  </si>
  <si>
    <t>Democritus</t>
  </si>
  <si>
    <t>E05</t>
  </si>
  <si>
    <t>Poseidon Racing Team</t>
  </si>
  <si>
    <t>TUC</t>
  </si>
  <si>
    <t>Aristurtle</t>
  </si>
  <si>
    <t>Poseidon</t>
  </si>
  <si>
    <t>E77</t>
  </si>
  <si>
    <t>Centaurus Racing Team</t>
  </si>
  <si>
    <t>Kingston</t>
  </si>
  <si>
    <t>E76</t>
  </si>
  <si>
    <t>Perseus Racing Team</t>
  </si>
  <si>
    <t>E11</t>
  </si>
  <si>
    <t>Aristotle University Racing Team Electric and Driverless</t>
  </si>
  <si>
    <t>E45</t>
  </si>
  <si>
    <t>Electric Vehicle Racing Team Tuiasi</t>
  </si>
  <si>
    <t>OVERALL EV</t>
  </si>
  <si>
    <t>OVERALL CV</t>
  </si>
  <si>
    <t>Penalties</t>
  </si>
  <si>
    <t>C12</t>
  </si>
  <si>
    <t>Aristotle Racing Team</t>
  </si>
  <si>
    <t>C33</t>
  </si>
  <si>
    <t>Frederick University Formula Racing Team</t>
  </si>
  <si>
    <t>Frederick</t>
  </si>
  <si>
    <t>C20</t>
  </si>
  <si>
    <t>Formula Studen Technical University of Crete Team</t>
  </si>
  <si>
    <t>C55</t>
  </si>
  <si>
    <t>Kingston Racing Team</t>
  </si>
  <si>
    <t>C09</t>
  </si>
  <si>
    <t>Pelops Racing Team</t>
  </si>
  <si>
    <t>Team Nr</t>
  </si>
  <si>
    <t>Column 1</t>
  </si>
  <si>
    <t>315</t>
  </si>
  <si>
    <t xml:space="preserve">Dynamic Events </t>
  </si>
  <si>
    <t>Points</t>
  </si>
  <si>
    <t>Skid Pad</t>
  </si>
  <si>
    <t>Acceleration</t>
  </si>
  <si>
    <t>Autocross</t>
  </si>
  <si>
    <t>Endurance</t>
  </si>
  <si>
    <t>Efficiency</t>
  </si>
  <si>
    <t>Total</t>
  </si>
  <si>
    <t xml:space="preserve">Static Events </t>
  </si>
  <si>
    <t>Engineering Design</t>
  </si>
  <si>
    <t>Cost &amp; Manufacturing</t>
  </si>
  <si>
    <t xml:space="preserve">Buisness Plan </t>
  </si>
  <si>
    <t>Overall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</si>
</sst>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Century Gothic"/>
    </font>
    <font>
      <color rgb="FF000000"/>
      <name val="Century Gothic"/>
    </font>
    <font>
      <color theme="1"/>
      <name val="Century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5" numFmtId="1" xfId="0" applyAlignment="1" applyFont="1" applyNumberFormat="1">
      <alignment horizontal="center" readingOrder="0" shrinkToFit="0" vertical="center" wrapText="1"/>
    </xf>
    <xf borderId="0" fillId="0" fontId="4" numFmtId="1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15AA6"/>
          <bgColor rgb="FF415AA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15AA6"/>
        </left>
        <right style="thin">
          <color rgb="FF415AA6"/>
        </right>
        <top style="thin">
          <color rgb="FF415AA6"/>
        </top>
        <bottom style="thin">
          <color rgb="FF415AA6"/>
        </bottom>
      </border>
    </dxf>
    <dxf>
      <font/>
      <fill>
        <patternFill patternType="solid">
          <fgColor rgb="FF4459A3"/>
          <bgColor rgb="FF4459A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174FEC"/>
          <bgColor rgb="FF174FEC"/>
        </patternFill>
      </fill>
      <border/>
    </dxf>
  </dxfs>
  <tableStyles count="42">
    <tableStyle count="4" pivot="0" name="Overall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Overall-style 2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Sheet2-style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Sheet2-style 2">
      <tableStyleElement dxfId="5" type="headerRow"/>
      <tableStyleElement dxfId="2" type="firstRowStripe"/>
      <tableStyleElement dxfId="6" type="secondRowStripe"/>
      <tableStyleElement dxfId="3" size="0" type="wholeTable"/>
    </tableStyle>
    <tableStyle count="4" pivot="0" name="E88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88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11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11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05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05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76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76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77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77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45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E45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33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33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12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12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09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09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55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55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20-style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C20-style 2">
      <tableStyleElement dxfId="7" type="headerRow"/>
      <tableStyleElement dxfId="2" type="firstRowStripe"/>
      <tableStyleElement dxfId="6" type="secondRowStripe"/>
      <tableStyleElement dxfId="3" size="0" type="wholeTable"/>
    </tableStyle>
    <tableStyle count="4" pivot="0" name="Acceleration-style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Acceleration-style 2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Skid Pad-style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Skid Pad-style 2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Autocross-style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Autocross-style 2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Endurance-style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Endurance-style 2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Efficiency-style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Efficiency-style 2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Engineering Design-style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Engineering Design-style 2">
      <tableStyleElement dxfId="4" type="headerRow"/>
      <tableStyleElement dxfId="2" type="firstRowStripe"/>
      <tableStyleElement dxfId="2" type="secondRowStripe"/>
      <tableStyleElement dxfId="3" size="0" type="wholeTable"/>
    </tableStyle>
    <tableStyle count="4" pivot="0" name="Cost &amp; Manufacturing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Cost &amp; Manufacturing-style 2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Buisness Plan 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Buisness Plan -style 2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" displayName="EV_FINAL" name="EV_FINAL" id="1">
  <tableColumns count="3">
    <tableColumn name="Vehicle Number" id="1"/>
    <tableColumn name="Team Name" id="2"/>
    <tableColumn name="Score" id="3"/>
  </tableColumns>
  <tableStyleInfo name="Overall-style" showColumnStripes="0" showFirstColumn="1" showLastColumn="1" showRowStripes="1"/>
</table>
</file>

<file path=xl/tables/table2.xml><?xml version="1.0" encoding="utf-8"?>
<table xmlns="http://schemas.openxmlformats.org/spreadsheetml/2006/main" ref="A9:D14" displayName="CV_FINAL_" name="CV_FINAL_" id="2">
  <tableColumns count="4">
    <tableColumn name="Vehicle Number" id="1"/>
    <tableColumn name="Team Name" id="2"/>
    <tableColumn name="Score" id="3"/>
    <tableColumn name="Penalties" id="4"/>
  </tableColumns>
  <tableStyleInfo name="Overall-style 2" showColumnStripes="0" showFirstColumn="1" showLastColumn="1" showRowStripes="1"/>
</table>
</file>

<file path=xl/tables/table3.xml><?xml version="1.0" encoding="utf-8"?>
<table xmlns="http://schemas.openxmlformats.org/spreadsheetml/2006/main" ref="B4:D16" displayName="Table1" name="Table1" id="3">
  <tableColumns count="3">
    <tableColumn name="Team Nr" id="1"/>
    <tableColumn name="Team Name" id="2"/>
    <tableColumn name="Column 1" id="3"/>
  </tableColumns>
  <tableStyleInfo name="Sheet2-style" showColumnStripes="0" showFirstColumn="1" showLastColumn="1" showRowStripes="1"/>
</table>
</file>

<file path=xl/tables/table4.xml><?xml version="1.0" encoding="utf-8"?>
<table xmlns="http://schemas.openxmlformats.org/spreadsheetml/2006/main" ref="H4:J8" displayName="Table4" name="Table4" id="4">
  <tableColumns count="3">
    <tableColumn name="C33" id="1"/>
    <tableColumn name="Frederick University Formula Racing Team" id="2"/>
    <tableColumn name="315" id="3"/>
  </tableColumns>
  <tableStyleInfo name="Sheet2-style 2" showColumnStripes="0" showFirstColumn="1" showLastColumn="1" showRowStripes="1"/>
</table>
</file>

<file path=xl/tables/table5.xml><?xml version="1.0" encoding="utf-8"?>
<table xmlns="http://schemas.openxmlformats.org/spreadsheetml/2006/main" ref="A1:B7" displayName="Table2" name="Table2" id="5">
  <tableColumns count="2">
    <tableColumn name="Dynamic Events " id="1"/>
    <tableColumn name="Points" id="2"/>
  </tableColumns>
  <tableStyleInfo name="E88-style" showColumnStripes="0" showFirstColumn="1" showLastColumn="1" showRowStripes="1"/>
</table>
</file>

<file path=xl/tables/table6.xml><?xml version="1.0" encoding="utf-8"?>
<table xmlns="http://schemas.openxmlformats.org/spreadsheetml/2006/main" ref="A11:B15" displayName="Table3" name="Table3" id="6">
  <tableColumns count="2">
    <tableColumn name="Static Events " id="1"/>
    <tableColumn name="Points" id="2"/>
  </tableColumns>
  <tableStyleInfo name="E88-style 2" showColumnStripes="0" showFirstColumn="1" showLastColumn="1" showRowStripes="1"/>
</table>
</file>

<file path=xl/tables/table7.xml><?xml version="1.0" encoding="utf-8"?>
<table xmlns="http://schemas.openxmlformats.org/spreadsheetml/2006/main" ref="A1:B7" displayName="Table2_2" name="Table2_2" id="7">
  <tableColumns count="2">
    <tableColumn name="Dynamic Events " id="1"/>
    <tableColumn name="Points" id="2"/>
  </tableColumns>
  <tableStyleInfo name="E11-style" showColumnStripes="0" showFirstColumn="1" showLastColumn="1" showRowStripes="1"/>
</table>
</file>

<file path=xl/tables/table8.xml><?xml version="1.0" encoding="utf-8"?>
<table xmlns="http://schemas.openxmlformats.org/spreadsheetml/2006/main" ref="A11:B15" displayName="Table3_2" name="Table3_2" id="8">
  <tableColumns count="2">
    <tableColumn name="Static Events " id="1"/>
    <tableColumn name="Points" id="2"/>
  </tableColumns>
  <tableStyleInfo name="E11-style 2" showColumnStripes="0" showFirstColumn="1" showLastColumn="1" showRowStripes="1"/>
</table>
</file>

<file path=xl/tables/table9.xml><?xml version="1.0" encoding="utf-8"?>
<table xmlns="http://schemas.openxmlformats.org/spreadsheetml/2006/main" ref="A1:B7" displayName="Table2_3" name="Table2_3" id="9">
  <tableColumns count="2">
    <tableColumn name="Dynamic Events " id="1"/>
    <tableColumn name="Points" id="2"/>
  </tableColumns>
  <tableStyleInfo name="E05-style" showColumnStripes="0" showFirstColumn="1" showLastColumn="1" showRowStripes="1"/>
</table>
</file>

<file path=xl/tables/table10.xml><?xml version="1.0" encoding="utf-8"?>
<table xmlns="http://schemas.openxmlformats.org/spreadsheetml/2006/main" ref="A11:B15" displayName="Table3_3" name="Table3_3" id="10">
  <tableColumns count="2">
    <tableColumn name="Static Events " id="1"/>
    <tableColumn name="Points" id="2"/>
  </tableColumns>
  <tableStyleInfo name="E05-style 2" showColumnStripes="0" showFirstColumn="1" showLastColumn="1" showRowStripes="1"/>
</table>
</file>

<file path=xl/tables/table11.xml><?xml version="1.0" encoding="utf-8"?>
<table xmlns="http://schemas.openxmlformats.org/spreadsheetml/2006/main" ref="A1:B7" displayName="Table2_4" name="Table2_4" id="11">
  <tableColumns count="2">
    <tableColumn name="Dynamic Events " id="1"/>
    <tableColumn name="Points" id="2"/>
  </tableColumns>
  <tableStyleInfo name="E76-style" showColumnStripes="0" showFirstColumn="1" showLastColumn="1" showRowStripes="1"/>
</table>
</file>

<file path=xl/tables/table12.xml><?xml version="1.0" encoding="utf-8"?>
<table xmlns="http://schemas.openxmlformats.org/spreadsheetml/2006/main" ref="A11:B15" displayName="Table3_4" name="Table3_4" id="12">
  <tableColumns count="2">
    <tableColumn name="Static Events " id="1"/>
    <tableColumn name="Points" id="2"/>
  </tableColumns>
  <tableStyleInfo name="E76-style 2" showColumnStripes="0" showFirstColumn="1" showLastColumn="1" showRowStripes="1"/>
</table>
</file>

<file path=xl/tables/table13.xml><?xml version="1.0" encoding="utf-8"?>
<table xmlns="http://schemas.openxmlformats.org/spreadsheetml/2006/main" ref="A1:B7" displayName="Table2_5" name="Table2_5" id="13">
  <tableColumns count="2">
    <tableColumn name="Dynamic Events " id="1"/>
    <tableColumn name="Points" id="2"/>
  </tableColumns>
  <tableStyleInfo name="E77-style" showColumnStripes="0" showFirstColumn="1" showLastColumn="1" showRowStripes="1"/>
</table>
</file>

<file path=xl/tables/table14.xml><?xml version="1.0" encoding="utf-8"?>
<table xmlns="http://schemas.openxmlformats.org/spreadsheetml/2006/main" ref="A11:B15" displayName="Table3_5" name="Table3_5" id="14">
  <tableColumns count="2">
    <tableColumn name="Static Events " id="1"/>
    <tableColumn name="Points" id="2"/>
  </tableColumns>
  <tableStyleInfo name="E77-style 2" showColumnStripes="0" showFirstColumn="1" showLastColumn="1" showRowStripes="1"/>
</table>
</file>

<file path=xl/tables/table15.xml><?xml version="1.0" encoding="utf-8"?>
<table xmlns="http://schemas.openxmlformats.org/spreadsheetml/2006/main" ref="A1:B7" displayName="Table2_6" name="Table2_6" id="15">
  <tableColumns count="2">
    <tableColumn name="Dynamic Events " id="1"/>
    <tableColumn name="Points" id="2"/>
  </tableColumns>
  <tableStyleInfo name="E45-style" showColumnStripes="0" showFirstColumn="1" showLastColumn="1" showRowStripes="1"/>
</table>
</file>

<file path=xl/tables/table16.xml><?xml version="1.0" encoding="utf-8"?>
<table xmlns="http://schemas.openxmlformats.org/spreadsheetml/2006/main" ref="A11:B15" displayName="Table3_6" name="Table3_6" id="16">
  <tableColumns count="2">
    <tableColumn name="Static Events " id="1"/>
    <tableColumn name="Points" id="2"/>
  </tableColumns>
  <tableStyleInfo name="E45-style 2" showColumnStripes="0" showFirstColumn="1" showLastColumn="1" showRowStripes="1"/>
</table>
</file>

<file path=xl/tables/table17.xml><?xml version="1.0" encoding="utf-8"?>
<table xmlns="http://schemas.openxmlformats.org/spreadsheetml/2006/main" ref="A1:B7" displayName="Table2_7" name="Table2_7" id="17">
  <tableColumns count="2">
    <tableColumn name="Dynamic Events " id="1"/>
    <tableColumn name="Points" id="2"/>
  </tableColumns>
  <tableStyleInfo name="C33-style" showColumnStripes="0" showFirstColumn="1" showLastColumn="1" showRowStripes="1"/>
</table>
</file>

<file path=xl/tables/table18.xml><?xml version="1.0" encoding="utf-8"?>
<table xmlns="http://schemas.openxmlformats.org/spreadsheetml/2006/main" ref="A11:B15" displayName="Table3_7" name="Table3_7" id="18">
  <tableColumns count="2">
    <tableColumn name="Static Events " id="1"/>
    <tableColumn name="Points" id="2"/>
  </tableColumns>
  <tableStyleInfo name="C33-style 2" showColumnStripes="0" showFirstColumn="1" showLastColumn="1" showRowStripes="1"/>
</table>
</file>

<file path=xl/tables/table19.xml><?xml version="1.0" encoding="utf-8"?>
<table xmlns="http://schemas.openxmlformats.org/spreadsheetml/2006/main" ref="A1:B7" displayName="Table2_8" name="Table2_8" id="19">
  <tableColumns count="2">
    <tableColumn name="Dynamic Events " id="1"/>
    <tableColumn name="Points" id="2"/>
  </tableColumns>
  <tableStyleInfo name="C12-style" showColumnStripes="0" showFirstColumn="1" showLastColumn="1" showRowStripes="1"/>
</table>
</file>

<file path=xl/tables/table20.xml><?xml version="1.0" encoding="utf-8"?>
<table xmlns="http://schemas.openxmlformats.org/spreadsheetml/2006/main" ref="A11:B15" displayName="Table3_8" name="Table3_8" id="20">
  <tableColumns count="2">
    <tableColumn name="Static Events " id="1"/>
    <tableColumn name="Points" id="2"/>
  </tableColumns>
  <tableStyleInfo name="C12-style 2" showColumnStripes="0" showFirstColumn="1" showLastColumn="1" showRowStripes="1"/>
</table>
</file>

<file path=xl/tables/table21.xml><?xml version="1.0" encoding="utf-8"?>
<table xmlns="http://schemas.openxmlformats.org/spreadsheetml/2006/main" ref="A1:B7" displayName="Table2_9" name="Table2_9" id="21">
  <tableColumns count="2">
    <tableColumn name="Dynamic Events " id="1"/>
    <tableColumn name="Points" id="2"/>
  </tableColumns>
  <tableStyleInfo name="C09-style" showColumnStripes="0" showFirstColumn="1" showLastColumn="1" showRowStripes="1"/>
</table>
</file>

<file path=xl/tables/table22.xml><?xml version="1.0" encoding="utf-8"?>
<table xmlns="http://schemas.openxmlformats.org/spreadsheetml/2006/main" ref="A11:B15" displayName="Table3_9" name="Table3_9" id="22">
  <tableColumns count="2">
    <tableColumn name="Static Events " id="1"/>
    <tableColumn name="Points" id="2"/>
  </tableColumns>
  <tableStyleInfo name="C09-style 2" showColumnStripes="0" showFirstColumn="1" showLastColumn="1" showRowStripes="1"/>
</table>
</file>

<file path=xl/tables/table23.xml><?xml version="1.0" encoding="utf-8"?>
<table xmlns="http://schemas.openxmlformats.org/spreadsheetml/2006/main" ref="A1:B7" displayName="Table2_10" name="Table2_10" id="23">
  <tableColumns count="2">
    <tableColumn name="Dynamic Events " id="1"/>
    <tableColumn name="Points" id="2"/>
  </tableColumns>
  <tableStyleInfo name="C55-style" showColumnStripes="0" showFirstColumn="1" showLastColumn="1" showRowStripes="1"/>
</table>
</file>

<file path=xl/tables/table24.xml><?xml version="1.0" encoding="utf-8"?>
<table xmlns="http://schemas.openxmlformats.org/spreadsheetml/2006/main" ref="A11:B15" displayName="Table3_10" name="Table3_10" id="24">
  <tableColumns count="2">
    <tableColumn name="Static Events " id="1"/>
    <tableColumn name="Points" id="2"/>
  </tableColumns>
  <tableStyleInfo name="C55-style 2" showColumnStripes="0" showFirstColumn="1" showLastColumn="1" showRowStripes="1"/>
</table>
</file>

<file path=xl/tables/table25.xml><?xml version="1.0" encoding="utf-8"?>
<table xmlns="http://schemas.openxmlformats.org/spreadsheetml/2006/main" ref="A1:B7" displayName="Table2_11" name="Table2_11" id="25">
  <tableColumns count="2">
    <tableColumn name="Dynamic Events " id="1"/>
    <tableColumn name="Points" id="2"/>
  </tableColumns>
  <tableStyleInfo name="C20-style" showColumnStripes="0" showFirstColumn="1" showLastColumn="1" showRowStripes="1"/>
</table>
</file>

<file path=xl/tables/table26.xml><?xml version="1.0" encoding="utf-8"?>
<table xmlns="http://schemas.openxmlformats.org/spreadsheetml/2006/main" ref="A11:B15" displayName="Table3_11" name="Table3_11" id="26">
  <tableColumns count="2">
    <tableColumn name="Static Events " id="1"/>
    <tableColumn name="Points" id="2"/>
  </tableColumns>
  <tableStyleInfo name="C20-style 2" showColumnStripes="0" showFirstColumn="1" showLastColumn="1" showRowStripes="1"/>
</table>
</file>

<file path=xl/tables/table27.xml><?xml version="1.0" encoding="utf-8"?>
<table xmlns="http://schemas.openxmlformats.org/spreadsheetml/2006/main" ref="B4:D10" displayName="Table5" name="Table5" id="27">
  <tableColumns count="3">
    <tableColumn name="Vehicle Number" id="1"/>
    <tableColumn name="Team Name" id="2"/>
    <tableColumn name="Score" id="3"/>
  </tableColumns>
  <tableStyleInfo name="Acceleration-style" showColumnStripes="0" showFirstColumn="1" showLastColumn="1" showRowStripes="1"/>
</table>
</file>

<file path=xl/tables/table28.xml><?xml version="1.0" encoding="utf-8"?>
<table xmlns="http://schemas.openxmlformats.org/spreadsheetml/2006/main" ref="B14:D19" displayName="Table6" name="Table6" id="28">
  <tableColumns count="3">
    <tableColumn name="Vehicle Number" id="1"/>
    <tableColumn name="Team Name" id="2"/>
    <tableColumn name="Score" id="3"/>
  </tableColumns>
  <tableStyleInfo name="Acceleration-style 2" showColumnStripes="0" showFirstColumn="1" showLastColumn="1" showRowStripes="1"/>
</table>
</file>

<file path=xl/tables/table29.xml><?xml version="1.0" encoding="utf-8"?>
<table xmlns="http://schemas.openxmlformats.org/spreadsheetml/2006/main" ref="B4:D10" displayName="EV" name="EV" id="29">
  <tableColumns count="3">
    <tableColumn name="Vehicle Number" id="1"/>
    <tableColumn name="Team Name" id="2"/>
    <tableColumn name="Score" id="3"/>
  </tableColumns>
  <tableStyleInfo name="Skid Pad-style" showColumnStripes="0" showFirstColumn="1" showLastColumn="1" showRowStripes="1"/>
</table>
</file>

<file path=xl/tables/table30.xml><?xml version="1.0" encoding="utf-8"?>
<table xmlns="http://schemas.openxmlformats.org/spreadsheetml/2006/main" ref="B14:D19" displayName="CV" name="CV" id="30">
  <tableColumns count="3">
    <tableColumn name="Vehicle Number" id="1"/>
    <tableColumn name="Team Name" id="2"/>
    <tableColumn name="Score" id="3"/>
  </tableColumns>
  <tableStyleInfo name="Skid Pad-style 2" showColumnStripes="0" showFirstColumn="1" showLastColumn="1" showRowStripes="1"/>
</table>
</file>

<file path=xl/tables/table31.xml><?xml version="1.0" encoding="utf-8"?>
<table xmlns="http://schemas.openxmlformats.org/spreadsheetml/2006/main" ref="B4:D10" displayName="Table7" name="Table7" id="31">
  <tableColumns count="3">
    <tableColumn name="Vehicle Number" id="1"/>
    <tableColumn name="Team Name" id="2"/>
    <tableColumn name="Score" id="3"/>
  </tableColumns>
  <tableStyleInfo name="Autocross-style" showColumnStripes="0" showFirstColumn="1" showLastColumn="1" showRowStripes="1"/>
</table>
</file>

<file path=xl/tables/table32.xml><?xml version="1.0" encoding="utf-8"?>
<table xmlns="http://schemas.openxmlformats.org/spreadsheetml/2006/main" ref="B14:D19" displayName="Table8" name="Table8" id="32">
  <tableColumns count="3">
    <tableColumn name="Vehicle Number" id="1"/>
    <tableColumn name="Team Name" id="2"/>
    <tableColumn name="Score" id="3"/>
  </tableColumns>
  <tableStyleInfo name="Autocross-style 2" showColumnStripes="0" showFirstColumn="1" showLastColumn="1" showRowStripes="1"/>
</table>
</file>

<file path=xl/tables/table33.xml><?xml version="1.0" encoding="utf-8"?>
<table xmlns="http://schemas.openxmlformats.org/spreadsheetml/2006/main" ref="B4:D10" displayName="Table9" name="Table9" id="33">
  <tableColumns count="3">
    <tableColumn name="Vehicle Number" id="1"/>
    <tableColumn name="Team Name" id="2"/>
    <tableColumn name="Score" id="3"/>
  </tableColumns>
  <tableStyleInfo name="Endurance-style" showColumnStripes="0" showFirstColumn="1" showLastColumn="1" showRowStripes="1"/>
</table>
</file>

<file path=xl/tables/table34.xml><?xml version="1.0" encoding="utf-8"?>
<table xmlns="http://schemas.openxmlformats.org/spreadsheetml/2006/main" ref="B14:D19" displayName="Table10" name="Table10" id="34">
  <tableColumns count="3">
    <tableColumn name="Vehicle Number" id="1"/>
    <tableColumn name="Team Name" id="2"/>
    <tableColumn name="Score" id="3"/>
  </tableColumns>
  <tableStyleInfo name="Endurance-style 2" showColumnStripes="0" showFirstColumn="1" showLastColumn="1" showRowStripes="1"/>
</table>
</file>

<file path=xl/tables/table35.xml><?xml version="1.0" encoding="utf-8"?>
<table xmlns="http://schemas.openxmlformats.org/spreadsheetml/2006/main" ref="B4:D10" displayName="Table11" name="Table11" id="35">
  <tableColumns count="3">
    <tableColumn name="Vehicle Number" id="1"/>
    <tableColumn name="Team Name" id="2"/>
    <tableColumn name="Score" id="3"/>
  </tableColumns>
  <tableStyleInfo name="Efficiency-style" showColumnStripes="0" showFirstColumn="1" showLastColumn="1" showRowStripes="1"/>
</table>
</file>

<file path=xl/tables/table36.xml><?xml version="1.0" encoding="utf-8"?>
<table xmlns="http://schemas.openxmlformats.org/spreadsheetml/2006/main" ref="B14:D19" displayName="Table12" name="Table12" id="36">
  <tableColumns count="3">
    <tableColumn name="Vehicle Number" id="1"/>
    <tableColumn name="Team Name" id="2"/>
    <tableColumn name="Score" id="3"/>
  </tableColumns>
  <tableStyleInfo name="Efficiency-style 2" showColumnStripes="0" showFirstColumn="1" showLastColumn="1" showRowStripes="1"/>
</table>
</file>

<file path=xl/tables/table37.xml><?xml version="1.0" encoding="utf-8"?>
<table xmlns="http://schemas.openxmlformats.org/spreadsheetml/2006/main" ref="B4:D10" displayName="Table13" name="Table13" id="37">
  <tableColumns count="3">
    <tableColumn name="Vehicle Number" id="1"/>
    <tableColumn name="Team Name" id="2"/>
    <tableColumn name="Score" id="3"/>
  </tableColumns>
  <tableStyleInfo name="Engineering Design-style" showColumnStripes="0" showFirstColumn="1" showLastColumn="1" showRowStripes="1"/>
</table>
</file>

<file path=xl/tables/table38.xml><?xml version="1.0" encoding="utf-8"?>
<table xmlns="http://schemas.openxmlformats.org/spreadsheetml/2006/main" ref="B14:D19" displayName="Table14" name="Table14" id="38">
  <tableColumns count="3">
    <tableColumn name="Vehicle Number" id="1"/>
    <tableColumn name="Team Name" id="2"/>
    <tableColumn name="Score" id="3"/>
  </tableColumns>
  <tableStyleInfo name="Engineering Design-style 2" showColumnStripes="0" showFirstColumn="1" showLastColumn="1" showRowStripes="1"/>
</table>
</file>

<file path=xl/tables/table39.xml><?xml version="1.0" encoding="utf-8"?>
<table xmlns="http://schemas.openxmlformats.org/spreadsheetml/2006/main" ref="B4:D10" displayName="Table15" name="Table15" id="39">
  <tableColumns count="3">
    <tableColumn name="Vehicle Number" id="1"/>
    <tableColumn name="Team Name" id="2"/>
    <tableColumn name="Score" id="3"/>
  </tableColumns>
  <tableStyleInfo name="Cost &amp; Manufacturing-style" showColumnStripes="0" showFirstColumn="1" showLastColumn="1" showRowStripes="1"/>
</table>
</file>

<file path=xl/tables/table40.xml><?xml version="1.0" encoding="utf-8"?>
<table xmlns="http://schemas.openxmlformats.org/spreadsheetml/2006/main" ref="B14:D19" displayName="Table16" name="Table16" id="40">
  <tableColumns count="3">
    <tableColumn name="Vehicle Number" id="1"/>
    <tableColumn name="Team Name" id="2"/>
    <tableColumn name="Score" id="3"/>
  </tableColumns>
  <tableStyleInfo name="Cost &amp; Manufacturing-style 2" showColumnStripes="0" showFirstColumn="1" showLastColumn="1" showRowStripes="1"/>
</table>
</file>

<file path=xl/tables/table41.xml><?xml version="1.0" encoding="utf-8"?>
<table xmlns="http://schemas.openxmlformats.org/spreadsheetml/2006/main" ref="B4:D10" displayName="Table17" name="Table17" id="41">
  <tableColumns count="3">
    <tableColumn name="Vehicle Number" id="1"/>
    <tableColumn name="Team Name" id="2"/>
    <tableColumn name="Score" id="3"/>
  </tableColumns>
  <tableStyleInfo name="Buisness Plan -style" showColumnStripes="0" showFirstColumn="1" showLastColumn="1" showRowStripes="1"/>
</table>
</file>

<file path=xl/tables/table42.xml><?xml version="1.0" encoding="utf-8"?>
<table xmlns="http://schemas.openxmlformats.org/spreadsheetml/2006/main" ref="B14:D19" displayName="Table18" name="Table18" id="42">
  <tableColumns count="3">
    <tableColumn name="Vehicle Number" id="1"/>
    <tableColumn name="Team Name" id="2"/>
    <tableColumn name="Score" id="3"/>
  </tableColumns>
  <tableStyleInfo name="Buisness Plan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27.xml"/><Relationship Id="rId5" Type="http://schemas.openxmlformats.org/officeDocument/2006/relationships/table" Target="../tables/table2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31.xml"/><Relationship Id="rId5" Type="http://schemas.openxmlformats.org/officeDocument/2006/relationships/table" Target="../tables/table3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33.xml"/><Relationship Id="rId5" Type="http://schemas.openxmlformats.org/officeDocument/2006/relationships/table" Target="../tables/table3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35.xml"/><Relationship Id="rId5" Type="http://schemas.openxmlformats.org/officeDocument/2006/relationships/table" Target="../tables/table3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37.xml"/><Relationship Id="rId5" Type="http://schemas.openxmlformats.org/officeDocument/2006/relationships/table" Target="../tables/table3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39.xml"/><Relationship Id="rId5" Type="http://schemas.openxmlformats.org/officeDocument/2006/relationships/table" Target="../tables/table4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4" Type="http://schemas.openxmlformats.org/officeDocument/2006/relationships/table" Target="../tables/table41.xml"/><Relationship Id="rId5" Type="http://schemas.openxmlformats.org/officeDocument/2006/relationships/table" Target="../tables/table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37.63"/>
    <col customWidth="1" min="4" max="4" width="15.63"/>
    <col customWidth="1" min="5" max="6" width="15.38"/>
    <col customWidth="1" min="7" max="7" width="15.25"/>
  </cols>
  <sheetData>
    <row r="1" ht="22.5" customHeight="1">
      <c r="A1" s="1" t="s">
        <v>0</v>
      </c>
      <c r="B1" s="1" t="s">
        <v>1</v>
      </c>
      <c r="C1" s="2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ht="22.5" customHeight="1">
      <c r="A2" s="4" t="s">
        <v>9</v>
      </c>
      <c r="B2" s="4" t="s">
        <v>10</v>
      </c>
      <c r="C2" s="5">
        <f>'E88'!B20</f>
        <v>826</v>
      </c>
      <c r="D2" s="3"/>
      <c r="E2" s="3" t="s">
        <v>11</v>
      </c>
      <c r="F2" s="3" t="s">
        <v>12</v>
      </c>
      <c r="G2" s="3" t="s">
        <v>13</v>
      </c>
      <c r="H2" s="3" t="s">
        <v>14</v>
      </c>
      <c r="I2" s="6" t="s">
        <v>13</v>
      </c>
      <c r="J2" s="6" t="s">
        <v>15</v>
      </c>
    </row>
    <row r="3" ht="22.5" customHeight="1">
      <c r="A3" s="4" t="s">
        <v>16</v>
      </c>
      <c r="B3" s="4" t="s">
        <v>17</v>
      </c>
      <c r="C3" s="5">
        <f>'E05'!B20</f>
        <v>500</v>
      </c>
      <c r="D3" s="3"/>
      <c r="E3" s="3" t="s">
        <v>18</v>
      </c>
      <c r="F3" s="3" t="s">
        <v>19</v>
      </c>
      <c r="G3" s="3" t="s">
        <v>11</v>
      </c>
      <c r="H3" s="3" t="s">
        <v>20</v>
      </c>
      <c r="I3" s="6" t="s">
        <v>11</v>
      </c>
      <c r="J3" s="6" t="s">
        <v>12</v>
      </c>
    </row>
    <row r="4" ht="22.5" customHeight="1">
      <c r="A4" s="4" t="s">
        <v>21</v>
      </c>
      <c r="B4" s="4" t="s">
        <v>22</v>
      </c>
      <c r="C4" s="5">
        <f>'E77'!B20</f>
        <v>391.91</v>
      </c>
      <c r="D4" s="3"/>
      <c r="E4" s="3" t="s">
        <v>23</v>
      </c>
      <c r="F4" s="3" t="s">
        <v>20</v>
      </c>
      <c r="G4" s="3" t="s">
        <v>23</v>
      </c>
      <c r="H4" s="3" t="s">
        <v>12</v>
      </c>
      <c r="I4" s="6" t="s">
        <v>23</v>
      </c>
      <c r="J4" s="6" t="s">
        <v>14</v>
      </c>
    </row>
    <row r="5" ht="22.5" customHeight="1">
      <c r="A5" s="4" t="s">
        <v>24</v>
      </c>
      <c r="B5" s="4" t="s">
        <v>25</v>
      </c>
      <c r="C5" s="5">
        <f>'E76'!B20</f>
        <v>341</v>
      </c>
    </row>
    <row r="6" ht="22.5" customHeight="1">
      <c r="A6" s="4" t="s">
        <v>26</v>
      </c>
      <c r="B6" s="4" t="s">
        <v>27</v>
      </c>
      <c r="C6" s="5">
        <f>'E11'!B20</f>
        <v>337.63</v>
      </c>
    </row>
    <row r="7" ht="22.5" customHeight="1">
      <c r="A7" s="4" t="s">
        <v>28</v>
      </c>
      <c r="B7" s="4" t="s">
        <v>29</v>
      </c>
      <c r="C7" s="5">
        <f>'E45'!B20</f>
        <v>95</v>
      </c>
    </row>
    <row r="8">
      <c r="H8" s="3" t="s">
        <v>30</v>
      </c>
      <c r="I8" s="3" t="s">
        <v>31</v>
      </c>
    </row>
    <row r="9" ht="22.5" customHeight="1">
      <c r="A9" s="7" t="s">
        <v>0</v>
      </c>
      <c r="B9" s="7" t="s">
        <v>1</v>
      </c>
      <c r="C9" s="7" t="s">
        <v>2</v>
      </c>
      <c r="D9" s="8" t="s">
        <v>32</v>
      </c>
      <c r="H9" s="3"/>
      <c r="I9" s="3"/>
    </row>
    <row r="10" ht="22.5" customHeight="1">
      <c r="A10" s="9" t="s">
        <v>33</v>
      </c>
      <c r="B10" s="9" t="s">
        <v>34</v>
      </c>
      <c r="C10" s="10">
        <f>'C12'!B20-D10</f>
        <v>509</v>
      </c>
      <c r="D10" s="11">
        <v>45.0</v>
      </c>
      <c r="H10" s="3" t="s">
        <v>15</v>
      </c>
      <c r="I10" s="3" t="s">
        <v>11</v>
      </c>
    </row>
    <row r="11" ht="22.5" customHeight="1">
      <c r="A11" s="9" t="s">
        <v>35</v>
      </c>
      <c r="B11" s="9" t="s">
        <v>36</v>
      </c>
      <c r="C11" s="10">
        <f>'C33'!B20-D11</f>
        <v>285.2</v>
      </c>
      <c r="D11" s="11">
        <v>20.0</v>
      </c>
      <c r="H11" s="3" t="s">
        <v>20</v>
      </c>
      <c r="I11" s="3" t="s">
        <v>37</v>
      </c>
    </row>
    <row r="12" ht="22.5" customHeight="1">
      <c r="A12" s="9" t="s">
        <v>38</v>
      </c>
      <c r="B12" s="9" t="s">
        <v>39</v>
      </c>
      <c r="C12" s="10">
        <f>'C20'!B20-D12</f>
        <v>213</v>
      </c>
      <c r="D12" s="11">
        <v>40.0</v>
      </c>
      <c r="H12" s="3" t="s">
        <v>12</v>
      </c>
      <c r="I12" s="3" t="s">
        <v>18</v>
      </c>
    </row>
    <row r="13" ht="22.5" customHeight="1">
      <c r="A13" s="9" t="s">
        <v>40</v>
      </c>
      <c r="B13" s="9" t="s">
        <v>41</v>
      </c>
      <c r="C13" s="10">
        <f>'C55'!B20-D13</f>
        <v>203</v>
      </c>
      <c r="D13" s="12"/>
    </row>
    <row r="14" ht="22.5" customHeight="1">
      <c r="A14" s="9" t="s">
        <v>42</v>
      </c>
      <c r="B14" s="9" t="s">
        <v>43</v>
      </c>
      <c r="C14" s="10">
        <f>'C09'!B20-D14</f>
        <v>142</v>
      </c>
      <c r="D14" s="12"/>
    </row>
    <row r="20">
      <c r="A20" s="3" t="s">
        <v>44</v>
      </c>
      <c r="B20" s="3" t="s">
        <v>1</v>
      </c>
      <c r="E20" s="3"/>
      <c r="F20" s="3" t="s">
        <v>3</v>
      </c>
      <c r="G20" s="3" t="s">
        <v>4</v>
      </c>
      <c r="H20" s="3" t="s">
        <v>5</v>
      </c>
      <c r="I20" s="3" t="s">
        <v>6</v>
      </c>
      <c r="J20" s="3" t="s">
        <v>7</v>
      </c>
      <c r="K20" s="3" t="s">
        <v>8</v>
      </c>
    </row>
    <row r="21">
      <c r="A21" s="3" t="s">
        <v>9</v>
      </c>
      <c r="B21" s="3" t="s">
        <v>10</v>
      </c>
      <c r="C21" s="3">
        <v>816.0</v>
      </c>
      <c r="E21" s="3"/>
      <c r="F21" s="3" t="s">
        <v>11</v>
      </c>
      <c r="G21" s="3" t="s">
        <v>12</v>
      </c>
      <c r="H21" s="3" t="s">
        <v>13</v>
      </c>
      <c r="I21" s="3" t="s">
        <v>14</v>
      </c>
      <c r="J21" s="3" t="s">
        <v>13</v>
      </c>
      <c r="K21" s="3" t="s">
        <v>15</v>
      </c>
    </row>
    <row r="22">
      <c r="A22" s="3" t="s">
        <v>26</v>
      </c>
      <c r="B22" s="3" t="s">
        <v>27</v>
      </c>
      <c r="C22" s="3">
        <v>332.0</v>
      </c>
      <c r="E22" s="3"/>
      <c r="F22" s="3" t="s">
        <v>18</v>
      </c>
      <c r="G22" s="3" t="s">
        <v>19</v>
      </c>
      <c r="H22" s="3" t="s">
        <v>11</v>
      </c>
      <c r="I22" s="3" t="s">
        <v>20</v>
      </c>
      <c r="J22" s="3" t="s">
        <v>11</v>
      </c>
      <c r="K22" s="3" t="s">
        <v>12</v>
      </c>
    </row>
    <row r="23">
      <c r="A23" s="3" t="s">
        <v>16</v>
      </c>
      <c r="B23" s="3" t="s">
        <v>17</v>
      </c>
      <c r="C23" s="3">
        <v>498.0</v>
      </c>
      <c r="E23" s="3"/>
      <c r="F23" s="3" t="s">
        <v>23</v>
      </c>
      <c r="G23" s="3" t="s">
        <v>20</v>
      </c>
      <c r="H23" s="3" t="s">
        <v>23</v>
      </c>
      <c r="I23" s="3" t="s">
        <v>12</v>
      </c>
      <c r="J23" s="3" t="s">
        <v>23</v>
      </c>
      <c r="K23" s="3" t="s">
        <v>14</v>
      </c>
    </row>
    <row r="24">
      <c r="A24" s="3" t="s">
        <v>24</v>
      </c>
      <c r="B24" s="3" t="s">
        <v>25</v>
      </c>
      <c r="C24" s="3">
        <v>334.0</v>
      </c>
    </row>
    <row r="25">
      <c r="A25" s="3" t="s">
        <v>21</v>
      </c>
      <c r="B25" s="3" t="s">
        <v>22</v>
      </c>
      <c r="C25" s="3">
        <v>392.0</v>
      </c>
    </row>
    <row r="26">
      <c r="A26" s="3" t="s">
        <v>28</v>
      </c>
      <c r="B26" s="3" t="s">
        <v>29</v>
      </c>
      <c r="C26" s="3">
        <v>162.0</v>
      </c>
    </row>
    <row r="27">
      <c r="H27" s="3" t="s">
        <v>30</v>
      </c>
      <c r="I27" s="3" t="s">
        <v>31</v>
      </c>
    </row>
    <row r="28">
      <c r="A28" s="3" t="s">
        <v>35</v>
      </c>
      <c r="B28" s="3" t="s">
        <v>36</v>
      </c>
      <c r="C28" s="13">
        <v>315.0</v>
      </c>
      <c r="H28" s="3" t="s">
        <v>15</v>
      </c>
      <c r="I28" s="3" t="s">
        <v>11</v>
      </c>
    </row>
    <row r="29">
      <c r="A29" s="3" t="s">
        <v>33</v>
      </c>
      <c r="B29" s="3" t="s">
        <v>34</v>
      </c>
      <c r="C29" s="13">
        <v>554.0</v>
      </c>
      <c r="H29" s="3" t="s">
        <v>20</v>
      </c>
      <c r="I29" s="3" t="s">
        <v>37</v>
      </c>
    </row>
    <row r="30">
      <c r="A30" s="3" t="s">
        <v>42</v>
      </c>
      <c r="B30" s="3" t="s">
        <v>43</v>
      </c>
      <c r="C30" s="13">
        <v>147.0</v>
      </c>
      <c r="H30" s="3" t="s">
        <v>12</v>
      </c>
      <c r="I30" s="3" t="s">
        <v>18</v>
      </c>
    </row>
    <row r="31">
      <c r="A31" s="3" t="s">
        <v>40</v>
      </c>
      <c r="B31" s="3" t="s">
        <v>41</v>
      </c>
      <c r="C31" s="13">
        <v>206.0</v>
      </c>
    </row>
    <row r="32">
      <c r="A32" s="3" t="s">
        <v>38</v>
      </c>
      <c r="B32" s="3" t="s">
        <v>39</v>
      </c>
      <c r="C32" s="13">
        <v>258.0</v>
      </c>
    </row>
  </sheetData>
  <dataValidations>
    <dataValidation type="custom" allowBlank="1" showDropDown="1" sqref="C2:C7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9" max="9" width="37.63"/>
  </cols>
  <sheetData>
    <row r="4" ht="22.5" customHeight="1">
      <c r="B4" s="1" t="s">
        <v>44</v>
      </c>
      <c r="C4" s="1" t="s">
        <v>1</v>
      </c>
      <c r="D4" s="2" t="s">
        <v>45</v>
      </c>
      <c r="H4" s="1" t="s">
        <v>35</v>
      </c>
      <c r="I4" s="1" t="s">
        <v>36</v>
      </c>
      <c r="J4" s="2" t="s">
        <v>46</v>
      </c>
    </row>
    <row r="5" ht="22.5" customHeight="1">
      <c r="B5" s="14" t="s">
        <v>9</v>
      </c>
      <c r="C5" s="14" t="s">
        <v>10</v>
      </c>
      <c r="D5" s="14">
        <v>816.0</v>
      </c>
      <c r="H5" s="14" t="s">
        <v>33</v>
      </c>
      <c r="I5" s="14" t="s">
        <v>34</v>
      </c>
      <c r="J5" s="15">
        <v>554.0</v>
      </c>
    </row>
    <row r="6" ht="22.5" customHeight="1">
      <c r="B6" s="14" t="s">
        <v>16</v>
      </c>
      <c r="C6" s="14" t="s">
        <v>17</v>
      </c>
      <c r="D6" s="14">
        <v>498.0</v>
      </c>
      <c r="H6" s="14" t="s">
        <v>38</v>
      </c>
      <c r="I6" s="14" t="s">
        <v>39</v>
      </c>
      <c r="J6" s="15">
        <v>258.0</v>
      </c>
    </row>
    <row r="7" ht="22.5" customHeight="1">
      <c r="B7" s="14" t="s">
        <v>21</v>
      </c>
      <c r="C7" s="14" t="s">
        <v>22</v>
      </c>
      <c r="D7" s="14">
        <v>392.0</v>
      </c>
      <c r="H7" s="14" t="s">
        <v>40</v>
      </c>
      <c r="I7" s="14" t="s">
        <v>41</v>
      </c>
      <c r="J7" s="15">
        <v>206.0</v>
      </c>
    </row>
    <row r="8" ht="22.5" customHeight="1">
      <c r="B8" s="14" t="s">
        <v>24</v>
      </c>
      <c r="C8" s="14" t="s">
        <v>25</v>
      </c>
      <c r="D8" s="14">
        <v>334.0</v>
      </c>
      <c r="H8" s="14" t="s">
        <v>42</v>
      </c>
      <c r="I8" s="14" t="s">
        <v>43</v>
      </c>
      <c r="J8" s="15">
        <v>147.0</v>
      </c>
    </row>
    <row r="9" ht="22.5" customHeight="1">
      <c r="B9" s="14" t="s">
        <v>26</v>
      </c>
      <c r="C9" s="14" t="s">
        <v>27</v>
      </c>
      <c r="D9" s="14">
        <v>332.0</v>
      </c>
    </row>
    <row r="10" ht="22.5" customHeight="1">
      <c r="B10" s="14" t="s">
        <v>28</v>
      </c>
      <c r="C10" s="14" t="s">
        <v>29</v>
      </c>
      <c r="D10" s="14">
        <v>162.0</v>
      </c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8">
        <v>75.0</v>
      </c>
      <c r="C2" s="17"/>
      <c r="D2" s="17"/>
      <c r="E2" s="17"/>
    </row>
    <row r="3" ht="22.5" customHeight="1">
      <c r="A3" s="18" t="s">
        <v>50</v>
      </c>
      <c r="B3" s="18">
        <v>75.0</v>
      </c>
      <c r="C3" s="17"/>
      <c r="D3" s="17"/>
      <c r="E3" s="17"/>
    </row>
    <row r="4" ht="22.5" customHeight="1">
      <c r="A4" s="18" t="s">
        <v>51</v>
      </c>
      <c r="B4" s="19">
        <v>0.0</v>
      </c>
      <c r="C4" s="17"/>
      <c r="D4" s="17"/>
      <c r="E4" s="17"/>
    </row>
    <row r="5" ht="22.5" customHeight="1">
      <c r="A5" s="18" t="s">
        <v>52</v>
      </c>
      <c r="B5" s="18">
        <v>325.0</v>
      </c>
      <c r="C5" s="17"/>
      <c r="D5" s="20"/>
      <c r="E5" s="20"/>
    </row>
    <row r="6" ht="22.5" customHeight="1">
      <c r="A6" s="18" t="s">
        <v>53</v>
      </c>
      <c r="B6" s="18">
        <v>100.0</v>
      </c>
      <c r="C6" s="17"/>
      <c r="D6" s="20"/>
      <c r="E6" s="20"/>
    </row>
    <row r="7" ht="22.5" customHeight="1">
      <c r="A7" s="18" t="s">
        <v>54</v>
      </c>
      <c r="B7" s="18">
        <f>SUM(B2:B6)</f>
        <v>575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9">
        <v>103.0</v>
      </c>
      <c r="C12" s="17"/>
      <c r="D12" s="20"/>
      <c r="E12" s="20"/>
    </row>
    <row r="13" ht="22.5" customHeight="1">
      <c r="A13" s="18" t="s">
        <v>57</v>
      </c>
      <c r="B13" s="19">
        <v>73.0</v>
      </c>
      <c r="C13" s="17"/>
      <c r="D13" s="20"/>
      <c r="E13" s="20"/>
    </row>
    <row r="14" ht="22.5" customHeight="1">
      <c r="A14" s="18" t="s">
        <v>58</v>
      </c>
      <c r="B14" s="18">
        <v>75.0</v>
      </c>
      <c r="C14" s="17"/>
      <c r="D14" s="20"/>
      <c r="E14" s="20"/>
    </row>
    <row r="15" ht="22.5" customHeight="1">
      <c r="A15" s="18" t="s">
        <v>54</v>
      </c>
      <c r="B15" s="18">
        <f>SUM(B12:B14)</f>
        <v>251</v>
      </c>
      <c r="C15" s="17"/>
      <c r="D15" s="17"/>
      <c r="E15" s="17"/>
    </row>
    <row r="20">
      <c r="A20" s="3" t="s">
        <v>59</v>
      </c>
      <c r="B20" s="13">
        <f>SUM(B7,B15,E14)</f>
        <v>826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9">
        <v>0.0</v>
      </c>
      <c r="C2" s="17"/>
      <c r="D2" s="17"/>
      <c r="E2" s="17"/>
    </row>
    <row r="3" ht="22.5" customHeight="1">
      <c r="A3" s="18" t="s">
        <v>50</v>
      </c>
      <c r="B3" s="19">
        <v>0.0</v>
      </c>
      <c r="C3" s="17"/>
      <c r="D3" s="17"/>
      <c r="E3" s="17"/>
    </row>
    <row r="4" ht="22.5" customHeight="1">
      <c r="A4" s="18" t="s">
        <v>51</v>
      </c>
      <c r="B4" s="19">
        <v>92.63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92.63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9">
        <v>130.0</v>
      </c>
      <c r="C12" s="17"/>
      <c r="D12" s="20"/>
      <c r="E12" s="20"/>
    </row>
    <row r="13" ht="22.5" customHeight="1">
      <c r="A13" s="18" t="s">
        <v>57</v>
      </c>
      <c r="B13" s="19">
        <v>45.0</v>
      </c>
      <c r="C13" s="17"/>
      <c r="D13" s="20"/>
      <c r="E13" s="20"/>
    </row>
    <row r="14" ht="22.5" customHeight="1">
      <c r="A14" s="18" t="s">
        <v>58</v>
      </c>
      <c r="B14" s="19">
        <v>70.0</v>
      </c>
      <c r="C14" s="17"/>
      <c r="D14" s="20"/>
      <c r="E14" s="20"/>
    </row>
    <row r="15" ht="22.5" customHeight="1">
      <c r="A15" s="18" t="s">
        <v>54</v>
      </c>
      <c r="B15" s="18">
        <f>SUM(B12:B14)</f>
        <v>245</v>
      </c>
      <c r="C15" s="17"/>
      <c r="D15" s="17"/>
      <c r="E15" s="17"/>
    </row>
    <row r="20">
      <c r="A20" s="3" t="s">
        <v>59</v>
      </c>
      <c r="B20" s="13">
        <f>SUM(B7,B15,E14)</f>
        <v>337.63</v>
      </c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9">
        <v>73.0</v>
      </c>
      <c r="C2" s="17"/>
      <c r="D2" s="17"/>
      <c r="E2" s="17"/>
    </row>
    <row r="3" ht="22.5" customHeight="1">
      <c r="A3" s="18" t="s">
        <v>50</v>
      </c>
      <c r="B3" s="19">
        <v>66.0</v>
      </c>
      <c r="C3" s="17"/>
      <c r="D3" s="17"/>
      <c r="E3" s="17"/>
    </row>
    <row r="4" ht="22.5" customHeight="1">
      <c r="A4" s="18" t="s">
        <v>51</v>
      </c>
      <c r="B4" s="19">
        <v>100.0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239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9">
        <v>111.0</v>
      </c>
      <c r="C12" s="17"/>
      <c r="D12" s="20"/>
      <c r="E12" s="20"/>
    </row>
    <row r="13" ht="22.5" customHeight="1">
      <c r="A13" s="18" t="s">
        <v>57</v>
      </c>
      <c r="B13" s="19">
        <v>91.0</v>
      </c>
      <c r="C13" s="17"/>
      <c r="D13" s="20"/>
      <c r="E13" s="20"/>
    </row>
    <row r="14" ht="22.5" customHeight="1">
      <c r="A14" s="18" t="s">
        <v>58</v>
      </c>
      <c r="B14" s="19">
        <v>59.0</v>
      </c>
      <c r="C14" s="17"/>
      <c r="D14" s="20"/>
      <c r="E14" s="20"/>
    </row>
    <row r="15" ht="22.5" customHeight="1">
      <c r="A15" s="18" t="s">
        <v>54</v>
      </c>
      <c r="B15" s="18">
        <f>SUM(B12:B14)</f>
        <v>261</v>
      </c>
      <c r="C15" s="17"/>
      <c r="D15" s="17"/>
      <c r="E15" s="17"/>
    </row>
    <row r="20">
      <c r="A20" s="3" t="s">
        <v>59</v>
      </c>
      <c r="B20" s="13">
        <f>SUM(B7,B15,E14)</f>
        <v>500</v>
      </c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9">
        <v>66.0</v>
      </c>
      <c r="C2" s="17"/>
      <c r="D2" s="17"/>
      <c r="E2" s="17"/>
    </row>
    <row r="3" ht="22.5" customHeight="1">
      <c r="A3" s="18" t="s">
        <v>50</v>
      </c>
      <c r="B3" s="19">
        <v>0.0</v>
      </c>
      <c r="C3" s="17"/>
      <c r="D3" s="17"/>
      <c r="E3" s="17"/>
    </row>
    <row r="4" ht="22.5" customHeight="1">
      <c r="A4" s="18" t="s">
        <v>51</v>
      </c>
      <c r="B4" s="19">
        <v>0.0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66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9">
        <v>106.0</v>
      </c>
      <c r="C12" s="17"/>
      <c r="D12" s="20"/>
      <c r="E12" s="20"/>
    </row>
    <row r="13" ht="22.5" customHeight="1">
      <c r="A13" s="18" t="s">
        <v>57</v>
      </c>
      <c r="B13" s="19">
        <v>98.0</v>
      </c>
      <c r="C13" s="17"/>
      <c r="D13" s="20"/>
      <c r="E13" s="20"/>
    </row>
    <row r="14" ht="22.5" customHeight="1">
      <c r="A14" s="18" t="s">
        <v>58</v>
      </c>
      <c r="B14" s="19">
        <v>71.0</v>
      </c>
      <c r="C14" s="17"/>
      <c r="D14" s="20"/>
      <c r="E14" s="20"/>
    </row>
    <row r="15" ht="22.5" customHeight="1">
      <c r="A15" s="18" t="s">
        <v>54</v>
      </c>
      <c r="B15" s="18">
        <f>SUM(B12:B14)</f>
        <v>275</v>
      </c>
      <c r="C15" s="17"/>
      <c r="D15" s="17"/>
      <c r="E15" s="17"/>
    </row>
    <row r="20">
      <c r="A20" s="3" t="s">
        <v>59</v>
      </c>
      <c r="B20" s="13">
        <f>SUM(B7,B15,E14)</f>
        <v>341</v>
      </c>
    </row>
  </sheetData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9">
        <v>0.0</v>
      </c>
      <c r="C2" s="17"/>
      <c r="D2" s="17"/>
      <c r="E2" s="17"/>
    </row>
    <row r="3" ht="22.5" customHeight="1">
      <c r="A3" s="18" t="s">
        <v>50</v>
      </c>
      <c r="B3" s="19">
        <v>0.0</v>
      </c>
      <c r="C3" s="17"/>
      <c r="D3" s="17"/>
      <c r="E3" s="17"/>
    </row>
    <row r="4" ht="22.5" customHeight="1">
      <c r="A4" s="18" t="s">
        <v>51</v>
      </c>
      <c r="B4" s="19">
        <v>80.91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80.91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8">
        <v>150.0</v>
      </c>
      <c r="C12" s="17"/>
      <c r="D12" s="20"/>
      <c r="E12" s="20"/>
    </row>
    <row r="13" ht="22.5" customHeight="1">
      <c r="A13" s="18" t="s">
        <v>57</v>
      </c>
      <c r="B13" s="19">
        <v>89.0</v>
      </c>
      <c r="C13" s="17"/>
      <c r="D13" s="20"/>
      <c r="E13" s="20"/>
    </row>
    <row r="14" ht="22.5" customHeight="1">
      <c r="A14" s="18" t="s">
        <v>58</v>
      </c>
      <c r="B14" s="19">
        <v>72.0</v>
      </c>
      <c r="C14" s="17"/>
      <c r="D14" s="20"/>
      <c r="E14" s="20"/>
    </row>
    <row r="15" ht="22.5" customHeight="1">
      <c r="A15" s="18" t="s">
        <v>54</v>
      </c>
      <c r="B15" s="18">
        <f>SUM(B12:B14)</f>
        <v>311</v>
      </c>
      <c r="C15" s="17"/>
      <c r="D15" s="17"/>
      <c r="E15" s="17"/>
    </row>
    <row r="18">
      <c r="H18" s="3">
        <v>0.0</v>
      </c>
    </row>
    <row r="20">
      <c r="A20" s="3" t="s">
        <v>59</v>
      </c>
      <c r="B20" s="13">
        <f>SUM(B7,B15,E14)</f>
        <v>391.91</v>
      </c>
    </row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9">
        <v>0.0</v>
      </c>
      <c r="C2" s="17"/>
      <c r="D2" s="17"/>
      <c r="E2" s="17"/>
    </row>
    <row r="3" ht="22.5" customHeight="1">
      <c r="A3" s="18" t="s">
        <v>50</v>
      </c>
      <c r="B3" s="19">
        <v>0.0</v>
      </c>
      <c r="C3" s="17"/>
      <c r="D3" s="17"/>
      <c r="E3" s="17"/>
    </row>
    <row r="4" ht="22.5" customHeight="1">
      <c r="A4" s="18" t="s">
        <v>51</v>
      </c>
      <c r="B4" s="19">
        <v>0.0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0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9">
        <v>40.0</v>
      </c>
      <c r="C12" s="17"/>
      <c r="D12" s="20"/>
      <c r="E12" s="20"/>
    </row>
    <row r="13" ht="22.5" customHeight="1">
      <c r="A13" s="18" t="s">
        <v>57</v>
      </c>
      <c r="B13" s="19">
        <v>0.0</v>
      </c>
      <c r="C13" s="17"/>
      <c r="D13" s="20"/>
      <c r="E13" s="20"/>
    </row>
    <row r="14" ht="22.5" customHeight="1">
      <c r="A14" s="18" t="s">
        <v>58</v>
      </c>
      <c r="B14" s="19">
        <v>55.0</v>
      </c>
      <c r="C14" s="17"/>
      <c r="D14" s="20"/>
      <c r="E14" s="20"/>
    </row>
    <row r="15" ht="22.5" customHeight="1">
      <c r="A15" s="18" t="s">
        <v>54</v>
      </c>
      <c r="B15" s="18">
        <f>SUM(B12:B14)</f>
        <v>95</v>
      </c>
      <c r="C15" s="17"/>
      <c r="D15" s="17"/>
      <c r="E15" s="17"/>
    </row>
    <row r="20">
      <c r="A20" s="3" t="s">
        <v>59</v>
      </c>
      <c r="B20" s="13">
        <f>SUM(B7,B15,E14)</f>
        <v>95</v>
      </c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9">
        <v>47.0</v>
      </c>
      <c r="C2" s="17"/>
      <c r="D2" s="17"/>
      <c r="E2" s="17"/>
    </row>
    <row r="3" ht="22.5" customHeight="1">
      <c r="A3" s="18" t="s">
        <v>50</v>
      </c>
      <c r="B3" s="19">
        <v>61.0</v>
      </c>
      <c r="C3" s="17"/>
      <c r="D3" s="17"/>
      <c r="E3" s="17"/>
    </row>
    <row r="4" ht="22.5" customHeight="1">
      <c r="A4" s="18" t="s">
        <v>51</v>
      </c>
      <c r="B4" s="19">
        <v>33.2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141.2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9">
        <v>62.0</v>
      </c>
      <c r="C12" s="17"/>
      <c r="D12" s="20"/>
      <c r="E12" s="20"/>
    </row>
    <row r="13" ht="22.5" customHeight="1">
      <c r="A13" s="18" t="s">
        <v>57</v>
      </c>
      <c r="B13" s="19">
        <v>32.0</v>
      </c>
      <c r="C13" s="17"/>
      <c r="D13" s="20"/>
      <c r="E13" s="20"/>
    </row>
    <row r="14" ht="22.5" customHeight="1">
      <c r="A14" s="18" t="s">
        <v>58</v>
      </c>
      <c r="B14" s="19">
        <v>70.0</v>
      </c>
      <c r="C14" s="17"/>
      <c r="D14" s="20"/>
      <c r="E14" s="20"/>
    </row>
    <row r="15" ht="22.5" customHeight="1">
      <c r="A15" s="18" t="s">
        <v>54</v>
      </c>
      <c r="B15" s="18">
        <f>SUM(B12:B14)</f>
        <v>164</v>
      </c>
      <c r="C15" s="17"/>
      <c r="D15" s="17"/>
      <c r="E15" s="17"/>
    </row>
    <row r="20">
      <c r="A20" s="3" t="s">
        <v>59</v>
      </c>
      <c r="B20" s="13">
        <f>SUM(B7,B15,E14)</f>
        <v>305.2</v>
      </c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8">
        <v>75.0</v>
      </c>
      <c r="C2" s="17"/>
      <c r="D2" s="17"/>
      <c r="E2" s="17"/>
    </row>
    <row r="3" ht="22.5" customHeight="1">
      <c r="A3" s="18" t="s">
        <v>50</v>
      </c>
      <c r="B3" s="18">
        <v>75.0</v>
      </c>
      <c r="C3" s="17"/>
      <c r="D3" s="17"/>
      <c r="E3" s="17"/>
    </row>
    <row r="4" ht="22.5" customHeight="1">
      <c r="A4" s="18" t="s">
        <v>51</v>
      </c>
      <c r="B4" s="18">
        <v>100.0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250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8">
        <v>150.0</v>
      </c>
      <c r="C12" s="17"/>
      <c r="D12" s="20"/>
      <c r="E12" s="20"/>
    </row>
    <row r="13" ht="22.5" customHeight="1">
      <c r="A13" s="18" t="s">
        <v>57</v>
      </c>
      <c r="B13" s="19">
        <v>81.0</v>
      </c>
      <c r="C13" s="17"/>
      <c r="D13" s="20"/>
      <c r="E13" s="20"/>
    </row>
    <row r="14" ht="22.5" customHeight="1">
      <c r="A14" s="18" t="s">
        <v>58</v>
      </c>
      <c r="B14" s="19">
        <v>73.0</v>
      </c>
      <c r="C14" s="17"/>
      <c r="D14" s="20"/>
      <c r="E14" s="20"/>
    </row>
    <row r="15" ht="22.5" customHeight="1">
      <c r="A15" s="18" t="s">
        <v>54</v>
      </c>
      <c r="B15" s="18">
        <f>SUM(B12:B14)</f>
        <v>304</v>
      </c>
      <c r="C15" s="17"/>
      <c r="D15" s="17"/>
      <c r="E15" s="17"/>
    </row>
    <row r="20">
      <c r="A20" s="3" t="s">
        <v>59</v>
      </c>
      <c r="B20" s="13">
        <f>SUM(B7,B15,E14)</f>
        <v>554</v>
      </c>
    </row>
  </sheetData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9">
        <v>0.0</v>
      </c>
      <c r="C2" s="17"/>
      <c r="D2" s="17"/>
      <c r="E2" s="17"/>
    </row>
    <row r="3" ht="22.5" customHeight="1">
      <c r="A3" s="18" t="s">
        <v>50</v>
      </c>
      <c r="B3" s="19">
        <v>0.0</v>
      </c>
      <c r="C3" s="17"/>
      <c r="D3" s="17"/>
      <c r="E3" s="17"/>
    </row>
    <row r="4" ht="22.5" customHeight="1">
      <c r="A4" s="18" t="s">
        <v>51</v>
      </c>
      <c r="B4" s="19">
        <v>0.0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0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9">
        <v>60.0</v>
      </c>
      <c r="C12" s="17"/>
      <c r="D12" s="20"/>
      <c r="E12" s="20"/>
    </row>
    <row r="13" ht="22.5" customHeight="1">
      <c r="A13" s="18" t="s">
        <v>57</v>
      </c>
      <c r="B13" s="19">
        <v>31.0</v>
      </c>
      <c r="C13" s="17"/>
      <c r="D13" s="20"/>
      <c r="E13" s="20"/>
    </row>
    <row r="14" ht="22.5" customHeight="1">
      <c r="A14" s="18" t="s">
        <v>58</v>
      </c>
      <c r="B14" s="19">
        <v>51.0</v>
      </c>
      <c r="C14" s="17"/>
      <c r="D14" s="20"/>
      <c r="E14" s="20"/>
    </row>
    <row r="15" ht="22.5" customHeight="1">
      <c r="A15" s="18" t="s">
        <v>54</v>
      </c>
      <c r="B15" s="18">
        <f>SUM(B12:B14)</f>
        <v>142</v>
      </c>
      <c r="C15" s="17"/>
      <c r="D15" s="17"/>
      <c r="E15" s="17"/>
    </row>
    <row r="20">
      <c r="A20" s="3" t="s">
        <v>59</v>
      </c>
      <c r="B20" s="13">
        <f>SUM(B7,B15,E14)</f>
        <v>142</v>
      </c>
    </row>
  </sheetData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9">
        <v>0.0</v>
      </c>
      <c r="C2" s="17"/>
      <c r="D2" s="17"/>
      <c r="E2" s="17"/>
    </row>
    <row r="3" ht="22.5" customHeight="1">
      <c r="A3" s="18" t="s">
        <v>50</v>
      </c>
      <c r="B3" s="19">
        <v>0.0</v>
      </c>
      <c r="C3" s="17"/>
      <c r="D3" s="17"/>
      <c r="E3" s="17"/>
    </row>
    <row r="4" ht="22.5" customHeight="1">
      <c r="A4" s="18" t="s">
        <v>51</v>
      </c>
      <c r="B4" s="19">
        <v>0.0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0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9">
        <v>77.0</v>
      </c>
      <c r="C12" s="17"/>
      <c r="D12" s="20"/>
      <c r="E12" s="20"/>
    </row>
    <row r="13" ht="22.5" customHeight="1">
      <c r="A13" s="18" t="s">
        <v>57</v>
      </c>
      <c r="B13" s="19">
        <v>55.0</v>
      </c>
      <c r="C13" s="17"/>
      <c r="D13" s="20"/>
      <c r="E13" s="20"/>
    </row>
    <row r="14" ht="22.5" customHeight="1">
      <c r="A14" s="18" t="s">
        <v>58</v>
      </c>
      <c r="B14" s="19">
        <v>71.0</v>
      </c>
      <c r="C14" s="17"/>
      <c r="D14" s="20"/>
      <c r="E14" s="20"/>
    </row>
    <row r="15" ht="22.5" customHeight="1">
      <c r="A15" s="18" t="s">
        <v>54</v>
      </c>
      <c r="B15" s="18">
        <f>SUM(B12:B14)</f>
        <v>203</v>
      </c>
      <c r="C15" s="17"/>
      <c r="D15" s="17"/>
      <c r="E15" s="17"/>
    </row>
    <row r="20">
      <c r="A20" s="3" t="s">
        <v>59</v>
      </c>
      <c r="B20" s="13">
        <f>SUM(B7,B15,E14)</f>
        <v>203</v>
      </c>
    </row>
  </sheetData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0"/>
  </cols>
  <sheetData>
    <row r="1" ht="22.5" customHeight="1">
      <c r="A1" s="16" t="s">
        <v>47</v>
      </c>
      <c r="B1" s="16" t="s">
        <v>48</v>
      </c>
      <c r="C1" s="17"/>
      <c r="D1" s="17"/>
      <c r="E1" s="17"/>
    </row>
    <row r="2" ht="22.5" customHeight="1">
      <c r="A2" s="18" t="s">
        <v>49</v>
      </c>
      <c r="B2" s="19">
        <v>0.0</v>
      </c>
      <c r="C2" s="17"/>
      <c r="D2" s="17"/>
      <c r="E2" s="17"/>
    </row>
    <row r="3" ht="22.5" customHeight="1">
      <c r="A3" s="18" t="s">
        <v>50</v>
      </c>
      <c r="B3" s="19">
        <v>0.0</v>
      </c>
      <c r="C3" s="17"/>
      <c r="D3" s="17"/>
      <c r="E3" s="17"/>
    </row>
    <row r="4" ht="22.5" customHeight="1">
      <c r="A4" s="18" t="s">
        <v>51</v>
      </c>
      <c r="B4" s="19">
        <v>0.0</v>
      </c>
      <c r="C4" s="17"/>
      <c r="D4" s="17"/>
      <c r="E4" s="17"/>
    </row>
    <row r="5" ht="22.5" customHeight="1">
      <c r="A5" s="18" t="s">
        <v>52</v>
      </c>
      <c r="B5" s="19">
        <v>0.0</v>
      </c>
      <c r="C5" s="17"/>
      <c r="D5" s="20"/>
      <c r="E5" s="20"/>
    </row>
    <row r="6" ht="22.5" customHeight="1">
      <c r="A6" s="18" t="s">
        <v>53</v>
      </c>
      <c r="B6" s="19">
        <v>0.0</v>
      </c>
      <c r="C6" s="17"/>
      <c r="D6" s="20"/>
      <c r="E6" s="20"/>
    </row>
    <row r="7" ht="22.5" customHeight="1">
      <c r="A7" s="18" t="s">
        <v>54</v>
      </c>
      <c r="B7" s="18">
        <f>SUM(B2:B6)</f>
        <v>0</v>
      </c>
      <c r="C7" s="17"/>
      <c r="D7" s="20"/>
      <c r="E7" s="20"/>
    </row>
    <row r="8">
      <c r="A8" s="17"/>
      <c r="B8" s="17"/>
      <c r="C8" s="17"/>
      <c r="D8" s="20"/>
      <c r="E8" s="20"/>
    </row>
    <row r="9">
      <c r="A9" s="17"/>
      <c r="B9" s="17"/>
      <c r="C9" s="17"/>
      <c r="D9" s="20"/>
      <c r="E9" s="20"/>
    </row>
    <row r="10">
      <c r="A10" s="17"/>
      <c r="B10" s="17"/>
      <c r="C10" s="17"/>
      <c r="D10" s="20"/>
      <c r="E10" s="20"/>
    </row>
    <row r="11" ht="22.5" customHeight="1">
      <c r="A11" s="16" t="s">
        <v>55</v>
      </c>
      <c r="B11" s="16" t="s">
        <v>48</v>
      </c>
      <c r="C11" s="17"/>
      <c r="D11" s="20"/>
      <c r="E11" s="20"/>
    </row>
    <row r="12" ht="22.5" customHeight="1">
      <c r="A12" s="18" t="s">
        <v>56</v>
      </c>
      <c r="B12" s="19">
        <v>89.0</v>
      </c>
      <c r="C12" s="17"/>
      <c r="D12" s="20"/>
      <c r="E12" s="20"/>
    </row>
    <row r="13" ht="22.5" customHeight="1">
      <c r="A13" s="18" t="s">
        <v>57</v>
      </c>
      <c r="B13" s="19">
        <v>90.0</v>
      </c>
      <c r="C13" s="17"/>
      <c r="D13" s="20"/>
      <c r="E13" s="20"/>
    </row>
    <row r="14" ht="22.5" customHeight="1">
      <c r="A14" s="18" t="s">
        <v>58</v>
      </c>
      <c r="B14" s="19">
        <v>74.0</v>
      </c>
      <c r="C14" s="17"/>
      <c r="D14" s="20"/>
      <c r="E14" s="20"/>
    </row>
    <row r="15" ht="22.5" customHeight="1">
      <c r="A15" s="18" t="s">
        <v>54</v>
      </c>
      <c r="B15" s="18">
        <f>SUM(B12:B14)</f>
        <v>253</v>
      </c>
      <c r="C15" s="17"/>
      <c r="D15" s="17"/>
      <c r="E15" s="17"/>
    </row>
    <row r="20">
      <c r="A20" s="3" t="s">
        <v>59</v>
      </c>
      <c r="B20" s="13">
        <f>SUM(B7,B15,E14)</f>
        <v>253</v>
      </c>
    </row>
  </sheetData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3.0"/>
  </cols>
  <sheetData>
    <row r="2">
      <c r="B2" s="21"/>
      <c r="E2" s="21"/>
      <c r="F2" s="21"/>
    </row>
    <row r="3">
      <c r="B3" s="22"/>
      <c r="C3" s="22"/>
      <c r="D3" s="22"/>
      <c r="E3" s="21"/>
      <c r="F3" s="21"/>
    </row>
    <row r="4" ht="22.5" customHeight="1">
      <c r="B4" s="7" t="s">
        <v>0</v>
      </c>
      <c r="C4" s="7" t="s">
        <v>1</v>
      </c>
      <c r="D4" s="7" t="s">
        <v>2</v>
      </c>
      <c r="E4" s="21"/>
      <c r="F4" s="21"/>
    </row>
    <row r="5" ht="22.5" customHeight="1">
      <c r="B5" s="23" t="s">
        <v>9</v>
      </c>
      <c r="C5" s="23" t="s">
        <v>10</v>
      </c>
      <c r="D5" s="23">
        <v>75.0</v>
      </c>
      <c r="E5" s="21"/>
      <c r="F5" s="21"/>
    </row>
    <row r="6" ht="22.5" customHeight="1">
      <c r="B6" s="23" t="s">
        <v>16</v>
      </c>
      <c r="C6" s="23" t="s">
        <v>17</v>
      </c>
      <c r="D6" s="23">
        <v>66.0</v>
      </c>
      <c r="E6" s="21"/>
      <c r="F6" s="21"/>
    </row>
    <row r="7" ht="22.5" customHeight="1">
      <c r="B7" s="23" t="s">
        <v>26</v>
      </c>
      <c r="C7" s="23" t="s">
        <v>27</v>
      </c>
      <c r="D7" s="23">
        <v>0.0</v>
      </c>
      <c r="E7" s="21"/>
      <c r="F7" s="21"/>
    </row>
    <row r="8" ht="22.5" customHeight="1">
      <c r="B8" s="23" t="s">
        <v>24</v>
      </c>
      <c r="C8" s="23" t="s">
        <v>25</v>
      </c>
      <c r="D8" s="23">
        <v>0.0</v>
      </c>
      <c r="E8" s="21"/>
      <c r="F8" s="21"/>
    </row>
    <row r="9" ht="22.5" customHeight="1">
      <c r="B9" s="23" t="s">
        <v>21</v>
      </c>
      <c r="C9" s="23" t="s">
        <v>22</v>
      </c>
      <c r="D9" s="23">
        <v>0.0</v>
      </c>
      <c r="E9" s="21"/>
      <c r="F9" s="21"/>
    </row>
    <row r="10" ht="22.5" customHeight="1">
      <c r="B10" s="23" t="s">
        <v>28</v>
      </c>
      <c r="C10" s="23" t="s">
        <v>29</v>
      </c>
      <c r="D10" s="23">
        <v>0.0</v>
      </c>
      <c r="E10" s="21"/>
      <c r="F10" s="21"/>
    </row>
    <row r="11">
      <c r="B11" s="21"/>
      <c r="C11" s="21"/>
      <c r="D11" s="21"/>
      <c r="E11" s="21"/>
      <c r="F11" s="21"/>
    </row>
    <row r="12">
      <c r="B12" s="21"/>
      <c r="E12" s="21"/>
      <c r="F12" s="21"/>
    </row>
    <row r="13">
      <c r="B13" s="22"/>
      <c r="C13" s="22"/>
      <c r="D13" s="22"/>
      <c r="E13" s="21"/>
      <c r="F13" s="21"/>
    </row>
    <row r="14" ht="22.5" customHeight="1">
      <c r="B14" s="7" t="s">
        <v>0</v>
      </c>
      <c r="C14" s="7" t="s">
        <v>1</v>
      </c>
      <c r="D14" s="7" t="s">
        <v>2</v>
      </c>
      <c r="E14" s="21"/>
      <c r="F14" s="21"/>
    </row>
    <row r="15" ht="22.5" customHeight="1">
      <c r="B15" s="9" t="s">
        <v>33</v>
      </c>
      <c r="C15" s="9" t="s">
        <v>34</v>
      </c>
      <c r="D15" s="9">
        <v>75.0</v>
      </c>
      <c r="E15" s="21"/>
      <c r="F15" s="21"/>
    </row>
    <row r="16" ht="22.5" customHeight="1">
      <c r="B16" s="9" t="s">
        <v>35</v>
      </c>
      <c r="C16" s="9" t="s">
        <v>36</v>
      </c>
      <c r="D16" s="9">
        <v>61.0</v>
      </c>
      <c r="E16" s="21"/>
      <c r="F16" s="21"/>
    </row>
    <row r="17" ht="22.5" customHeight="1">
      <c r="B17" s="9" t="s">
        <v>42</v>
      </c>
      <c r="C17" s="9" t="s">
        <v>43</v>
      </c>
      <c r="D17" s="9">
        <v>0.0</v>
      </c>
      <c r="E17" s="21"/>
      <c r="F17" s="21"/>
    </row>
    <row r="18" ht="22.5" customHeight="1">
      <c r="B18" s="9" t="s">
        <v>40</v>
      </c>
      <c r="C18" s="9" t="s">
        <v>41</v>
      </c>
      <c r="D18" s="9">
        <v>0.0</v>
      </c>
      <c r="E18" s="21"/>
      <c r="F18" s="21"/>
    </row>
    <row r="19" ht="22.5" customHeight="1">
      <c r="B19" s="9" t="s">
        <v>38</v>
      </c>
      <c r="C19" s="9" t="s">
        <v>39</v>
      </c>
      <c r="D19" s="9">
        <v>0.0</v>
      </c>
      <c r="E19" s="21"/>
      <c r="F19" s="21"/>
    </row>
    <row r="20">
      <c r="B20" s="21"/>
      <c r="C20" s="21"/>
      <c r="D20" s="21"/>
      <c r="E20" s="21"/>
      <c r="F20" s="21"/>
    </row>
    <row r="21">
      <c r="B21" s="21"/>
      <c r="C21" s="21"/>
      <c r="D21" s="21"/>
      <c r="E21" s="21"/>
      <c r="F21" s="21"/>
    </row>
    <row r="22">
      <c r="B22" s="21"/>
      <c r="C22" s="21"/>
      <c r="D22" s="21"/>
      <c r="E22" s="21"/>
      <c r="F22" s="21"/>
    </row>
    <row r="23">
      <c r="B23" s="21"/>
      <c r="C23" s="21"/>
      <c r="D23" s="21"/>
      <c r="E23" s="21"/>
      <c r="F23" s="21"/>
    </row>
    <row r="24">
      <c r="B24" s="21"/>
      <c r="C24" s="21"/>
      <c r="D24" s="21"/>
      <c r="E24" s="21"/>
      <c r="F24" s="21"/>
    </row>
    <row r="25">
      <c r="B25" s="21"/>
      <c r="C25" s="21"/>
      <c r="D25" s="21"/>
      <c r="E25" s="21"/>
      <c r="F25" s="21"/>
    </row>
    <row r="26">
      <c r="B26" s="21"/>
      <c r="C26" s="21"/>
      <c r="D26" s="21"/>
      <c r="E26" s="21"/>
      <c r="F26" s="21"/>
    </row>
  </sheetData>
  <mergeCells count="2">
    <mergeCell ref="B2:D2"/>
    <mergeCell ref="B12:D12"/>
  </mergeCells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37.63"/>
  </cols>
  <sheetData>
    <row r="3">
      <c r="B3" s="3"/>
      <c r="C3" s="3"/>
      <c r="D3" s="3"/>
    </row>
    <row r="4" ht="22.5" customHeight="1">
      <c r="B4" s="7" t="s">
        <v>0</v>
      </c>
      <c r="C4" s="7" t="s">
        <v>1</v>
      </c>
      <c r="D4" s="7" t="s">
        <v>2</v>
      </c>
    </row>
    <row r="5" ht="22.5" customHeight="1">
      <c r="B5" s="23" t="s">
        <v>9</v>
      </c>
      <c r="C5" s="23" t="s">
        <v>10</v>
      </c>
      <c r="D5" s="24">
        <v>75.0</v>
      </c>
    </row>
    <row r="6" ht="22.5" customHeight="1">
      <c r="B6" s="23" t="s">
        <v>16</v>
      </c>
      <c r="C6" s="23" t="s">
        <v>17</v>
      </c>
      <c r="D6" s="23">
        <v>73.0</v>
      </c>
    </row>
    <row r="7" ht="22.5" customHeight="1">
      <c r="B7" s="23" t="s">
        <v>24</v>
      </c>
      <c r="C7" s="23" t="s">
        <v>25</v>
      </c>
      <c r="D7" s="23">
        <v>66.0</v>
      </c>
    </row>
    <row r="8" ht="22.5" customHeight="1">
      <c r="B8" s="23" t="s">
        <v>26</v>
      </c>
      <c r="C8" s="23" t="s">
        <v>27</v>
      </c>
      <c r="D8" s="23">
        <v>0.0</v>
      </c>
    </row>
    <row r="9" ht="22.5" customHeight="1">
      <c r="B9" s="23" t="s">
        <v>21</v>
      </c>
      <c r="C9" s="23" t="s">
        <v>22</v>
      </c>
      <c r="D9" s="23">
        <v>0.0</v>
      </c>
    </row>
    <row r="10" ht="22.5" customHeight="1">
      <c r="B10" s="23" t="s">
        <v>28</v>
      </c>
      <c r="C10" s="23" t="s">
        <v>29</v>
      </c>
      <c r="D10" s="23">
        <v>0.0</v>
      </c>
    </row>
    <row r="13">
      <c r="B13" s="3"/>
      <c r="C13" s="3"/>
      <c r="D13" s="3"/>
    </row>
    <row r="14" ht="22.5" customHeight="1">
      <c r="B14" s="7" t="s">
        <v>0</v>
      </c>
      <c r="C14" s="7" t="s">
        <v>1</v>
      </c>
      <c r="D14" s="7" t="s">
        <v>2</v>
      </c>
    </row>
    <row r="15" ht="22.5" customHeight="1">
      <c r="B15" s="9" t="s">
        <v>33</v>
      </c>
      <c r="C15" s="9" t="s">
        <v>34</v>
      </c>
      <c r="D15" s="9">
        <v>75.0</v>
      </c>
    </row>
    <row r="16" ht="22.5" customHeight="1">
      <c r="B16" s="9" t="s">
        <v>35</v>
      </c>
      <c r="C16" s="9" t="s">
        <v>36</v>
      </c>
      <c r="D16" s="9">
        <v>47.0</v>
      </c>
    </row>
    <row r="17" ht="22.5" customHeight="1">
      <c r="B17" s="9" t="s">
        <v>42</v>
      </c>
      <c r="C17" s="9" t="s">
        <v>43</v>
      </c>
      <c r="D17" s="9">
        <v>0.0</v>
      </c>
    </row>
    <row r="18" ht="22.5" customHeight="1">
      <c r="B18" s="9" t="s">
        <v>40</v>
      </c>
      <c r="C18" s="9" t="s">
        <v>41</v>
      </c>
      <c r="D18" s="9">
        <v>0.0</v>
      </c>
    </row>
    <row r="19" ht="22.5" customHeight="1">
      <c r="B19" s="9" t="s">
        <v>38</v>
      </c>
      <c r="C19" s="9" t="s">
        <v>39</v>
      </c>
      <c r="D19" s="9">
        <v>0.0</v>
      </c>
    </row>
  </sheetData>
  <mergeCells count="2">
    <mergeCell ref="B2:D2"/>
    <mergeCell ref="B12:D12"/>
  </mergeCells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3.0"/>
  </cols>
  <sheetData>
    <row r="2">
      <c r="A2" s="21"/>
      <c r="B2" s="21"/>
      <c r="E2" s="21"/>
    </row>
    <row r="3">
      <c r="A3" s="21"/>
      <c r="B3" s="22"/>
      <c r="C3" s="22"/>
      <c r="D3" s="22"/>
      <c r="E3" s="21"/>
    </row>
    <row r="4" ht="22.5" customHeight="1">
      <c r="A4" s="21"/>
      <c r="B4" s="7" t="s">
        <v>0</v>
      </c>
      <c r="C4" s="7" t="s">
        <v>1</v>
      </c>
      <c r="D4" s="7" t="s">
        <v>2</v>
      </c>
      <c r="E4" s="21"/>
    </row>
    <row r="5" ht="22.5" customHeight="1">
      <c r="A5" s="21"/>
      <c r="B5" s="9" t="s">
        <v>16</v>
      </c>
      <c r="C5" s="9" t="s">
        <v>17</v>
      </c>
      <c r="D5" s="25">
        <v>100.0</v>
      </c>
      <c r="E5" s="21"/>
    </row>
    <row r="6" ht="22.5" customHeight="1">
      <c r="A6" s="21"/>
      <c r="B6" s="9" t="s">
        <v>26</v>
      </c>
      <c r="C6" s="9" t="s">
        <v>27</v>
      </c>
      <c r="D6" s="25">
        <v>92.64</v>
      </c>
      <c r="E6" s="21"/>
    </row>
    <row r="7" ht="22.5" customHeight="1">
      <c r="A7" s="21"/>
      <c r="B7" s="9" t="s">
        <v>21</v>
      </c>
      <c r="C7" s="9" t="s">
        <v>22</v>
      </c>
      <c r="D7" s="25">
        <v>80.91</v>
      </c>
      <c r="E7" s="21"/>
    </row>
    <row r="8" ht="22.5" customHeight="1">
      <c r="A8" s="21"/>
      <c r="B8" s="9" t="s">
        <v>9</v>
      </c>
      <c r="C8" s="9" t="s">
        <v>10</v>
      </c>
      <c r="D8" s="25">
        <v>0.0</v>
      </c>
      <c r="E8" s="21"/>
    </row>
    <row r="9" ht="22.5" customHeight="1">
      <c r="A9" s="21"/>
      <c r="B9" s="9" t="s">
        <v>24</v>
      </c>
      <c r="C9" s="9" t="s">
        <v>25</v>
      </c>
      <c r="D9" s="25">
        <v>0.0</v>
      </c>
      <c r="E9" s="21"/>
    </row>
    <row r="10" ht="22.5" customHeight="1">
      <c r="A10" s="21"/>
      <c r="B10" s="9" t="s">
        <v>28</v>
      </c>
      <c r="C10" s="9" t="s">
        <v>29</v>
      </c>
      <c r="D10" s="25">
        <v>0.0</v>
      </c>
      <c r="E10" s="21"/>
    </row>
    <row r="11">
      <c r="A11" s="21"/>
      <c r="B11" s="21"/>
      <c r="C11" s="21"/>
      <c r="D11" s="21"/>
      <c r="E11" s="21"/>
    </row>
    <row r="12">
      <c r="A12" s="21"/>
      <c r="B12" s="21"/>
      <c r="E12" s="21"/>
    </row>
    <row r="13">
      <c r="A13" s="21"/>
      <c r="B13" s="22"/>
      <c r="C13" s="22"/>
      <c r="D13" s="22"/>
      <c r="E13" s="21"/>
    </row>
    <row r="14" ht="22.5" customHeight="1">
      <c r="A14" s="21"/>
      <c r="B14" s="7" t="s">
        <v>0</v>
      </c>
      <c r="C14" s="7" t="s">
        <v>1</v>
      </c>
      <c r="D14" s="7" t="s">
        <v>2</v>
      </c>
      <c r="E14" s="21"/>
    </row>
    <row r="15" ht="22.5" customHeight="1">
      <c r="A15" s="21"/>
      <c r="B15" s="9" t="s">
        <v>33</v>
      </c>
      <c r="C15" s="9" t="s">
        <v>34</v>
      </c>
      <c r="D15" s="9">
        <v>100.0</v>
      </c>
      <c r="E15" s="21"/>
    </row>
    <row r="16" ht="22.5" customHeight="1">
      <c r="A16" s="21"/>
      <c r="B16" s="9" t="s">
        <v>35</v>
      </c>
      <c r="C16" s="9" t="s">
        <v>36</v>
      </c>
      <c r="D16" s="9">
        <v>33.2</v>
      </c>
      <c r="E16" s="21"/>
    </row>
    <row r="17" ht="22.5" customHeight="1">
      <c r="A17" s="21"/>
      <c r="B17" s="9" t="s">
        <v>42</v>
      </c>
      <c r="C17" s="9" t="s">
        <v>43</v>
      </c>
      <c r="D17" s="9">
        <v>0.0</v>
      </c>
      <c r="E17" s="21"/>
    </row>
    <row r="18" ht="22.5" customHeight="1">
      <c r="A18" s="21"/>
      <c r="B18" s="9" t="s">
        <v>40</v>
      </c>
      <c r="C18" s="9" t="s">
        <v>41</v>
      </c>
      <c r="D18" s="9">
        <v>0.0</v>
      </c>
      <c r="E18" s="21"/>
    </row>
    <row r="19" ht="22.5" customHeight="1">
      <c r="A19" s="21"/>
      <c r="B19" s="9" t="s">
        <v>38</v>
      </c>
      <c r="C19" s="9" t="s">
        <v>39</v>
      </c>
      <c r="D19" s="9">
        <v>0.0</v>
      </c>
      <c r="E19" s="21"/>
    </row>
    <row r="20">
      <c r="A20" s="21"/>
      <c r="B20" s="21"/>
      <c r="C20" s="21"/>
      <c r="D20" s="21"/>
      <c r="E20" s="21"/>
    </row>
    <row r="21">
      <c r="A21" s="21"/>
      <c r="B21" s="21"/>
      <c r="C21" s="21"/>
      <c r="D21" s="21"/>
      <c r="E21" s="21"/>
    </row>
    <row r="22">
      <c r="A22" s="21"/>
      <c r="B22" s="21"/>
      <c r="C22" s="21"/>
      <c r="D22" s="21"/>
      <c r="E22" s="21"/>
    </row>
    <row r="23">
      <c r="A23" s="21"/>
      <c r="B23" s="21"/>
      <c r="C23" s="21"/>
      <c r="D23" s="21"/>
      <c r="E23" s="21"/>
    </row>
    <row r="24">
      <c r="A24" s="21"/>
      <c r="B24" s="21"/>
      <c r="C24" s="21"/>
      <c r="D24" s="21"/>
      <c r="E24" s="21"/>
    </row>
    <row r="25">
      <c r="A25" s="21"/>
      <c r="B25" s="21"/>
      <c r="C25" s="21"/>
      <c r="D25" s="21"/>
      <c r="E25" s="21"/>
    </row>
  </sheetData>
  <mergeCells count="2">
    <mergeCell ref="B2:D2"/>
    <mergeCell ref="B12:D12"/>
  </mergeCells>
  <dataValidations>
    <dataValidation type="custom" allowBlank="1" showDropDown="1" sqref="D5:D10">
      <formula1>AND(ISNUMBER(D5),(NOT(OR(NOT(ISERROR(DATEVALUE(D5))), AND(ISNUMBER(D5), LEFT(CELL("format", D5))="D")))))</formula1>
    </dataValidation>
  </dataValidations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43.0"/>
  </cols>
  <sheetData>
    <row r="2">
      <c r="A2" s="21"/>
      <c r="B2" s="21"/>
      <c r="E2" s="21"/>
      <c r="F2" s="21"/>
      <c r="G2" s="21"/>
    </row>
    <row r="3">
      <c r="A3" s="21"/>
      <c r="B3" s="22"/>
      <c r="C3" s="22"/>
      <c r="D3" s="22"/>
      <c r="E3" s="21"/>
      <c r="F3" s="21"/>
      <c r="G3" s="21"/>
    </row>
    <row r="4" ht="22.5" customHeight="1">
      <c r="A4" s="21"/>
      <c r="B4" s="7" t="s">
        <v>0</v>
      </c>
      <c r="C4" s="7" t="s">
        <v>1</v>
      </c>
      <c r="D4" s="7" t="s">
        <v>2</v>
      </c>
      <c r="E4" s="21"/>
      <c r="F4" s="21"/>
      <c r="G4" s="21"/>
    </row>
    <row r="5" ht="22.5" customHeight="1">
      <c r="A5" s="21"/>
      <c r="B5" s="9" t="s">
        <v>9</v>
      </c>
      <c r="C5" s="9" t="s">
        <v>10</v>
      </c>
      <c r="D5" s="9">
        <v>325.0</v>
      </c>
      <c r="E5" s="21"/>
      <c r="F5" s="21"/>
      <c r="G5" s="21"/>
    </row>
    <row r="6" ht="22.5" customHeight="1">
      <c r="A6" s="21"/>
      <c r="B6" s="9" t="s">
        <v>26</v>
      </c>
      <c r="C6" s="9" t="s">
        <v>27</v>
      </c>
      <c r="D6" s="9">
        <v>0.0</v>
      </c>
      <c r="E6" s="21"/>
      <c r="F6" s="21"/>
      <c r="G6" s="21"/>
    </row>
    <row r="7" ht="22.5" customHeight="1">
      <c r="A7" s="21"/>
      <c r="B7" s="9" t="s">
        <v>16</v>
      </c>
      <c r="C7" s="9" t="s">
        <v>17</v>
      </c>
      <c r="D7" s="9">
        <v>0.0</v>
      </c>
      <c r="E7" s="21"/>
      <c r="F7" s="21"/>
      <c r="G7" s="21"/>
    </row>
    <row r="8" ht="22.5" customHeight="1">
      <c r="A8" s="21"/>
      <c r="B8" s="9" t="s">
        <v>24</v>
      </c>
      <c r="C8" s="9" t="s">
        <v>25</v>
      </c>
      <c r="D8" s="9">
        <v>0.0</v>
      </c>
      <c r="E8" s="21"/>
      <c r="F8" s="21"/>
      <c r="G8" s="21"/>
    </row>
    <row r="9" ht="22.5" customHeight="1">
      <c r="A9" s="21"/>
      <c r="B9" s="9" t="s">
        <v>21</v>
      </c>
      <c r="C9" s="9" t="s">
        <v>22</v>
      </c>
      <c r="D9" s="9">
        <v>0.0</v>
      </c>
      <c r="E9" s="21"/>
      <c r="F9" s="21"/>
      <c r="G9" s="21"/>
    </row>
    <row r="10" ht="22.5" customHeight="1">
      <c r="A10" s="21"/>
      <c r="B10" s="9" t="s">
        <v>28</v>
      </c>
      <c r="C10" s="9" t="s">
        <v>29</v>
      </c>
      <c r="D10" s="9">
        <v>0.0</v>
      </c>
      <c r="E10" s="21"/>
      <c r="F10" s="21"/>
      <c r="G10" s="21"/>
    </row>
    <row r="11">
      <c r="A11" s="21"/>
      <c r="B11" s="21"/>
      <c r="C11" s="21"/>
      <c r="D11" s="21"/>
      <c r="E11" s="21"/>
      <c r="F11" s="21"/>
      <c r="G11" s="21"/>
    </row>
    <row r="12">
      <c r="A12" s="21"/>
      <c r="B12" s="21"/>
      <c r="E12" s="21"/>
      <c r="F12" s="21"/>
      <c r="G12" s="21"/>
    </row>
    <row r="13">
      <c r="A13" s="21"/>
      <c r="B13" s="22"/>
      <c r="C13" s="22"/>
      <c r="D13" s="22"/>
      <c r="E13" s="21"/>
      <c r="F13" s="21"/>
      <c r="G13" s="21"/>
    </row>
    <row r="14" ht="22.5" customHeight="1">
      <c r="A14" s="21"/>
      <c r="B14" s="7" t="s">
        <v>0</v>
      </c>
      <c r="C14" s="7" t="s">
        <v>1</v>
      </c>
      <c r="D14" s="7" t="s">
        <v>2</v>
      </c>
      <c r="E14" s="21"/>
      <c r="F14" s="21"/>
      <c r="G14" s="21"/>
    </row>
    <row r="15" ht="22.5" customHeight="1">
      <c r="A15" s="21"/>
      <c r="B15" s="9" t="s">
        <v>35</v>
      </c>
      <c r="C15" s="9" t="s">
        <v>36</v>
      </c>
      <c r="D15" s="9">
        <v>0.0</v>
      </c>
      <c r="E15" s="21"/>
      <c r="F15" s="21"/>
      <c r="G15" s="21"/>
    </row>
    <row r="16" ht="22.5" customHeight="1">
      <c r="A16" s="21"/>
      <c r="B16" s="9" t="s">
        <v>33</v>
      </c>
      <c r="C16" s="9" t="s">
        <v>34</v>
      </c>
      <c r="D16" s="9">
        <v>0.0</v>
      </c>
      <c r="E16" s="21"/>
      <c r="F16" s="21"/>
      <c r="G16" s="21"/>
    </row>
    <row r="17" ht="22.5" customHeight="1">
      <c r="A17" s="21"/>
      <c r="B17" s="9" t="s">
        <v>42</v>
      </c>
      <c r="C17" s="9" t="s">
        <v>43</v>
      </c>
      <c r="D17" s="9">
        <v>0.0</v>
      </c>
      <c r="E17" s="21"/>
      <c r="F17" s="21"/>
      <c r="G17" s="21"/>
    </row>
    <row r="18" ht="22.5" customHeight="1">
      <c r="A18" s="21"/>
      <c r="B18" s="9" t="s">
        <v>40</v>
      </c>
      <c r="C18" s="9" t="s">
        <v>41</v>
      </c>
      <c r="D18" s="9">
        <v>0.0</v>
      </c>
      <c r="E18" s="21"/>
      <c r="F18" s="21"/>
      <c r="G18" s="21"/>
    </row>
    <row r="19" ht="22.5" customHeight="1">
      <c r="A19" s="21"/>
      <c r="B19" s="9" t="s">
        <v>38</v>
      </c>
      <c r="C19" s="9" t="s">
        <v>39</v>
      </c>
      <c r="D19" s="9">
        <v>0.0</v>
      </c>
      <c r="E19" s="21"/>
      <c r="F19" s="21"/>
      <c r="G19" s="21"/>
    </row>
    <row r="20">
      <c r="A20" s="21"/>
      <c r="B20" s="21"/>
      <c r="C20" s="21"/>
      <c r="D20" s="21"/>
      <c r="E20" s="21"/>
      <c r="F20" s="21"/>
      <c r="G20" s="21"/>
    </row>
    <row r="21">
      <c r="A21" s="21"/>
      <c r="B21" s="21"/>
      <c r="C21" s="21"/>
      <c r="D21" s="21"/>
      <c r="E21" s="21"/>
      <c r="F21" s="21"/>
      <c r="G21" s="21"/>
    </row>
    <row r="22">
      <c r="A22" s="21"/>
      <c r="B22" s="21"/>
      <c r="C22" s="21"/>
      <c r="D22" s="21"/>
      <c r="E22" s="21"/>
      <c r="F22" s="21"/>
      <c r="G22" s="21"/>
    </row>
    <row r="23">
      <c r="A23" s="21"/>
      <c r="B23" s="21"/>
      <c r="C23" s="21"/>
      <c r="D23" s="21"/>
      <c r="E23" s="21"/>
      <c r="F23" s="21"/>
      <c r="G23" s="21"/>
    </row>
    <row r="24">
      <c r="A24" s="21"/>
      <c r="B24" s="21"/>
      <c r="C24" s="21"/>
      <c r="D24" s="21"/>
      <c r="E24" s="21"/>
      <c r="F24" s="21"/>
      <c r="G24" s="21"/>
    </row>
    <row r="25">
      <c r="A25" s="21"/>
      <c r="B25" s="21"/>
      <c r="C25" s="21"/>
      <c r="D25" s="21"/>
      <c r="E25" s="21"/>
      <c r="F25" s="21"/>
      <c r="G25" s="21"/>
    </row>
    <row r="26">
      <c r="A26" s="21"/>
      <c r="B26" s="21"/>
      <c r="C26" s="21"/>
      <c r="D26" s="21"/>
      <c r="E26" s="21"/>
      <c r="F26" s="21"/>
      <c r="G26" s="21"/>
    </row>
    <row r="27">
      <c r="A27" s="21"/>
      <c r="B27" s="21"/>
      <c r="C27" s="21"/>
      <c r="D27" s="21"/>
      <c r="E27" s="21"/>
      <c r="F27" s="21"/>
      <c r="G27" s="21"/>
    </row>
    <row r="28">
      <c r="A28" s="21"/>
      <c r="B28" s="21"/>
      <c r="C28" s="21"/>
      <c r="D28" s="21"/>
      <c r="E28" s="21"/>
      <c r="F28" s="21"/>
      <c r="G28" s="21"/>
    </row>
  </sheetData>
  <mergeCells count="2">
    <mergeCell ref="B2:D2"/>
    <mergeCell ref="B12:D12"/>
  </mergeCells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0"/>
    <col customWidth="1" min="4" max="4" width="9.75"/>
  </cols>
  <sheetData>
    <row r="2">
      <c r="A2" s="21"/>
      <c r="B2" s="21"/>
      <c r="E2" s="21"/>
      <c r="F2" s="21"/>
      <c r="G2" s="21"/>
    </row>
    <row r="3">
      <c r="A3" s="21"/>
      <c r="B3" s="22"/>
      <c r="C3" s="22"/>
      <c r="D3" s="22"/>
      <c r="E3" s="21"/>
      <c r="F3" s="21"/>
      <c r="G3" s="21"/>
    </row>
    <row r="4" ht="22.5" customHeight="1">
      <c r="A4" s="21"/>
      <c r="B4" s="7" t="s">
        <v>0</v>
      </c>
      <c r="C4" s="7" t="s">
        <v>1</v>
      </c>
      <c r="D4" s="7" t="s">
        <v>2</v>
      </c>
      <c r="E4" s="21"/>
      <c r="F4" s="21"/>
      <c r="G4" s="21"/>
    </row>
    <row r="5" ht="22.5" customHeight="1">
      <c r="A5" s="21"/>
      <c r="B5" s="9" t="s">
        <v>9</v>
      </c>
      <c r="C5" s="9" t="s">
        <v>10</v>
      </c>
      <c r="D5" s="9">
        <v>100.0</v>
      </c>
      <c r="E5" s="21"/>
      <c r="F5" s="21"/>
      <c r="G5" s="21"/>
    </row>
    <row r="6" ht="22.5" customHeight="1">
      <c r="A6" s="21"/>
      <c r="B6" s="9" t="s">
        <v>26</v>
      </c>
      <c r="C6" s="9" t="s">
        <v>27</v>
      </c>
      <c r="D6" s="9">
        <v>0.0</v>
      </c>
      <c r="E6" s="21"/>
      <c r="F6" s="21"/>
      <c r="G6" s="21"/>
    </row>
    <row r="7" ht="22.5" customHeight="1">
      <c r="A7" s="21"/>
      <c r="B7" s="9" t="s">
        <v>16</v>
      </c>
      <c r="C7" s="9" t="s">
        <v>17</v>
      </c>
      <c r="D7" s="9">
        <v>0.0</v>
      </c>
      <c r="E7" s="21"/>
      <c r="F7" s="21"/>
      <c r="G7" s="21"/>
    </row>
    <row r="8" ht="22.5" customHeight="1">
      <c r="A8" s="21"/>
      <c r="B8" s="9" t="s">
        <v>24</v>
      </c>
      <c r="C8" s="9" t="s">
        <v>25</v>
      </c>
      <c r="D8" s="9">
        <v>0.0</v>
      </c>
      <c r="E8" s="21"/>
      <c r="F8" s="21"/>
      <c r="G8" s="21"/>
    </row>
    <row r="9" ht="22.5" customHeight="1">
      <c r="A9" s="21"/>
      <c r="B9" s="9" t="s">
        <v>21</v>
      </c>
      <c r="C9" s="9" t="s">
        <v>22</v>
      </c>
      <c r="D9" s="9">
        <v>0.0</v>
      </c>
      <c r="E9" s="21"/>
      <c r="F9" s="21"/>
      <c r="G9" s="21"/>
    </row>
    <row r="10" ht="22.5" customHeight="1">
      <c r="A10" s="21"/>
      <c r="B10" s="9" t="s">
        <v>28</v>
      </c>
      <c r="C10" s="9" t="s">
        <v>29</v>
      </c>
      <c r="D10" s="9">
        <v>0.0</v>
      </c>
      <c r="E10" s="21"/>
      <c r="F10" s="21"/>
      <c r="G10" s="21"/>
    </row>
    <row r="11">
      <c r="A11" s="21"/>
      <c r="B11" s="21"/>
      <c r="C11" s="21"/>
      <c r="D11" s="21"/>
      <c r="E11" s="21"/>
      <c r="F11" s="21"/>
      <c r="G11" s="21"/>
    </row>
    <row r="12">
      <c r="A12" s="21"/>
      <c r="B12" s="21"/>
      <c r="E12" s="21"/>
      <c r="F12" s="21"/>
      <c r="G12" s="21"/>
    </row>
    <row r="13">
      <c r="A13" s="21"/>
      <c r="B13" s="22"/>
      <c r="C13" s="22"/>
      <c r="D13" s="22"/>
      <c r="E13" s="21"/>
      <c r="F13" s="21"/>
      <c r="G13" s="21"/>
    </row>
    <row r="14" ht="22.5" customHeight="1">
      <c r="A14" s="21"/>
      <c r="B14" s="7" t="s">
        <v>0</v>
      </c>
      <c r="C14" s="7" t="s">
        <v>1</v>
      </c>
      <c r="D14" s="7" t="s">
        <v>2</v>
      </c>
      <c r="E14" s="21"/>
      <c r="F14" s="21"/>
      <c r="G14" s="21"/>
    </row>
    <row r="15" ht="22.5" customHeight="1">
      <c r="A15" s="21"/>
      <c r="B15" s="9" t="s">
        <v>35</v>
      </c>
      <c r="C15" s="9" t="s">
        <v>36</v>
      </c>
      <c r="D15" s="9">
        <v>0.0</v>
      </c>
      <c r="E15" s="21"/>
      <c r="F15" s="21"/>
      <c r="G15" s="21"/>
    </row>
    <row r="16" ht="22.5" customHeight="1">
      <c r="A16" s="21"/>
      <c r="B16" s="9" t="s">
        <v>33</v>
      </c>
      <c r="C16" s="9" t="s">
        <v>34</v>
      </c>
      <c r="D16" s="9">
        <v>0.0</v>
      </c>
      <c r="E16" s="21"/>
      <c r="F16" s="21"/>
      <c r="G16" s="21"/>
    </row>
    <row r="17" ht="22.5" customHeight="1">
      <c r="A17" s="21"/>
      <c r="B17" s="9" t="s">
        <v>42</v>
      </c>
      <c r="C17" s="9" t="s">
        <v>43</v>
      </c>
      <c r="D17" s="9">
        <v>0.0</v>
      </c>
      <c r="E17" s="21"/>
      <c r="F17" s="21"/>
      <c r="G17" s="21"/>
    </row>
    <row r="18" ht="22.5" customHeight="1">
      <c r="A18" s="21"/>
      <c r="B18" s="9" t="s">
        <v>40</v>
      </c>
      <c r="C18" s="9" t="s">
        <v>41</v>
      </c>
      <c r="D18" s="9">
        <v>0.0</v>
      </c>
      <c r="E18" s="21"/>
      <c r="F18" s="21"/>
      <c r="G18" s="21"/>
    </row>
    <row r="19" ht="22.5" customHeight="1">
      <c r="A19" s="21"/>
      <c r="B19" s="9" t="s">
        <v>38</v>
      </c>
      <c r="C19" s="9" t="s">
        <v>39</v>
      </c>
      <c r="D19" s="9">
        <v>0.0</v>
      </c>
      <c r="E19" s="21"/>
      <c r="F19" s="21"/>
      <c r="G19" s="21"/>
    </row>
    <row r="20">
      <c r="A20" s="21"/>
      <c r="B20" s="21"/>
      <c r="C20" s="21"/>
      <c r="D20" s="21"/>
      <c r="E20" s="21"/>
      <c r="F20" s="21"/>
      <c r="G20" s="21"/>
    </row>
    <row r="21">
      <c r="A21" s="21"/>
      <c r="B21" s="21"/>
      <c r="C21" s="21"/>
      <c r="D21" s="21"/>
      <c r="E21" s="21"/>
      <c r="F21" s="21"/>
      <c r="G21" s="21"/>
    </row>
    <row r="22">
      <c r="A22" s="21"/>
      <c r="B22" s="21"/>
      <c r="C22" s="21"/>
      <c r="D22" s="21"/>
      <c r="E22" s="21"/>
      <c r="F22" s="21"/>
      <c r="G22" s="21"/>
    </row>
    <row r="23">
      <c r="A23" s="21"/>
      <c r="B23" s="21"/>
      <c r="C23" s="21"/>
      <c r="D23" s="21"/>
      <c r="E23" s="21"/>
      <c r="F23" s="21"/>
      <c r="G23" s="21"/>
    </row>
    <row r="24">
      <c r="A24" s="21"/>
      <c r="B24" s="21"/>
      <c r="C24" s="21"/>
      <c r="D24" s="21"/>
      <c r="E24" s="21"/>
      <c r="F24" s="21"/>
      <c r="G24" s="21"/>
    </row>
    <row r="25">
      <c r="A25" s="21"/>
      <c r="B25" s="21"/>
      <c r="C25" s="21"/>
      <c r="D25" s="21"/>
      <c r="E25" s="21"/>
      <c r="F25" s="21"/>
      <c r="G25" s="21"/>
    </row>
    <row r="26">
      <c r="A26" s="21"/>
      <c r="B26" s="21"/>
      <c r="C26" s="21"/>
      <c r="D26" s="21"/>
      <c r="E26" s="21"/>
      <c r="F26" s="21"/>
      <c r="G26" s="21"/>
    </row>
    <row r="27">
      <c r="A27" s="21"/>
      <c r="B27" s="21"/>
      <c r="C27" s="21"/>
      <c r="D27" s="21"/>
      <c r="E27" s="21"/>
      <c r="F27" s="21"/>
      <c r="G27" s="21"/>
    </row>
    <row r="28">
      <c r="A28" s="21"/>
      <c r="B28" s="21"/>
      <c r="C28" s="21"/>
      <c r="D28" s="21"/>
      <c r="E28" s="21"/>
      <c r="F28" s="21"/>
      <c r="G28" s="21"/>
    </row>
    <row r="29">
      <c r="A29" s="21"/>
      <c r="B29" s="21"/>
      <c r="C29" s="21"/>
      <c r="D29" s="21"/>
      <c r="E29" s="21"/>
      <c r="F29" s="21"/>
      <c r="G29" s="21"/>
    </row>
    <row r="30">
      <c r="A30" s="21"/>
      <c r="B30" s="21"/>
      <c r="C30" s="21"/>
      <c r="D30" s="21"/>
      <c r="E30" s="21"/>
      <c r="F30" s="21"/>
      <c r="G30" s="21"/>
    </row>
    <row r="31">
      <c r="A31" s="21"/>
      <c r="B31" s="21"/>
      <c r="C31" s="21"/>
      <c r="D31" s="21"/>
      <c r="E31" s="21"/>
      <c r="F31" s="21"/>
      <c r="G31" s="21"/>
    </row>
  </sheetData>
  <mergeCells count="2">
    <mergeCell ref="B2:D2"/>
    <mergeCell ref="B12:D12"/>
  </mergeCells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3.0"/>
    <col customWidth="1" min="4" max="4" width="14.25"/>
  </cols>
  <sheetData>
    <row r="3">
      <c r="B3" s="22"/>
      <c r="C3" s="22"/>
      <c r="D3" s="22"/>
      <c r="E3" s="21"/>
      <c r="F3" s="21"/>
    </row>
    <row r="4" ht="22.5" customHeight="1">
      <c r="B4" s="7" t="s">
        <v>0</v>
      </c>
      <c r="C4" s="7" t="s">
        <v>1</v>
      </c>
      <c r="D4" s="7" t="s">
        <v>2</v>
      </c>
      <c r="E4" s="21"/>
      <c r="F4" s="21"/>
    </row>
    <row r="5" ht="22.5" customHeight="1">
      <c r="B5" s="23" t="s">
        <v>21</v>
      </c>
      <c r="C5" s="23" t="s">
        <v>22</v>
      </c>
      <c r="D5" s="26">
        <v>150.0</v>
      </c>
      <c r="E5" s="21"/>
      <c r="F5" s="21"/>
    </row>
    <row r="6" ht="22.5" customHeight="1">
      <c r="B6" s="23" t="s">
        <v>26</v>
      </c>
      <c r="C6" s="23" t="s">
        <v>27</v>
      </c>
      <c r="D6" s="26">
        <v>130.4467987</v>
      </c>
      <c r="E6" s="21"/>
      <c r="F6" s="21"/>
    </row>
    <row r="7" ht="22.5" customHeight="1">
      <c r="B7" s="23" t="s">
        <v>16</v>
      </c>
      <c r="C7" s="23" t="s">
        <v>17</v>
      </c>
      <c r="D7" s="26">
        <v>110.96269</v>
      </c>
      <c r="E7" s="21"/>
      <c r="F7" s="21"/>
    </row>
    <row r="8" ht="22.5" customHeight="1">
      <c r="B8" s="23" t="s">
        <v>24</v>
      </c>
      <c r="C8" s="23" t="s">
        <v>25</v>
      </c>
      <c r="D8" s="26">
        <v>106.2643943</v>
      </c>
      <c r="E8" s="21"/>
      <c r="F8" s="21"/>
    </row>
    <row r="9" ht="22.5" customHeight="1">
      <c r="B9" s="23" t="s">
        <v>9</v>
      </c>
      <c r="C9" s="23" t="s">
        <v>10</v>
      </c>
      <c r="D9" s="26">
        <v>102.9479503</v>
      </c>
      <c r="E9" s="21"/>
      <c r="F9" s="21"/>
    </row>
    <row r="10" ht="22.5" customHeight="1">
      <c r="B10" s="23" t="s">
        <v>28</v>
      </c>
      <c r="C10" s="23" t="s">
        <v>29</v>
      </c>
      <c r="D10" s="26">
        <v>39.59005067</v>
      </c>
      <c r="E10" s="21"/>
      <c r="F10" s="21"/>
    </row>
    <row r="11">
      <c r="B11" s="21"/>
      <c r="C11" s="21"/>
      <c r="D11" s="21"/>
      <c r="E11" s="21"/>
      <c r="F11" s="21"/>
    </row>
    <row r="12">
      <c r="B12" s="21"/>
      <c r="E12" s="21"/>
      <c r="F12" s="21"/>
    </row>
    <row r="13">
      <c r="B13" s="22"/>
      <c r="C13" s="22"/>
      <c r="D13" s="22"/>
      <c r="E13" s="21"/>
      <c r="F13" s="21"/>
    </row>
    <row r="14" ht="22.5" customHeight="1">
      <c r="B14" s="7" t="s">
        <v>0</v>
      </c>
      <c r="C14" s="7" t="s">
        <v>1</v>
      </c>
      <c r="D14" s="7" t="s">
        <v>2</v>
      </c>
      <c r="E14" s="21"/>
      <c r="F14" s="21"/>
    </row>
    <row r="15" ht="22.5" customHeight="1">
      <c r="B15" s="9" t="s">
        <v>33</v>
      </c>
      <c r="C15" s="9" t="s">
        <v>34</v>
      </c>
      <c r="D15" s="27">
        <v>150.0</v>
      </c>
      <c r="E15" s="21"/>
      <c r="F15" s="21"/>
    </row>
    <row r="16" ht="22.5" customHeight="1">
      <c r="B16" s="9" t="s">
        <v>38</v>
      </c>
      <c r="C16" s="9" t="s">
        <v>39</v>
      </c>
      <c r="D16" s="27">
        <v>88.7595057</v>
      </c>
      <c r="E16" s="21"/>
      <c r="F16" s="21"/>
    </row>
    <row r="17" ht="22.5" customHeight="1">
      <c r="B17" s="9" t="s">
        <v>40</v>
      </c>
      <c r="C17" s="9" t="s">
        <v>41</v>
      </c>
      <c r="D17" s="27">
        <v>77.49524715</v>
      </c>
      <c r="E17" s="21"/>
      <c r="F17" s="21"/>
    </row>
    <row r="18" ht="22.5" customHeight="1">
      <c r="B18" s="9" t="s">
        <v>35</v>
      </c>
      <c r="C18" s="9" t="s">
        <v>36</v>
      </c>
      <c r="D18" s="27">
        <v>62.45247148</v>
      </c>
      <c r="E18" s="21"/>
      <c r="F18" s="21"/>
    </row>
    <row r="19" ht="22.5" customHeight="1">
      <c r="B19" s="9" t="s">
        <v>42</v>
      </c>
      <c r="C19" s="9" t="s">
        <v>43</v>
      </c>
      <c r="D19" s="27">
        <v>60.02851711</v>
      </c>
      <c r="E19" s="21"/>
      <c r="F19" s="21"/>
    </row>
    <row r="20">
      <c r="B20" s="21"/>
      <c r="C20" s="21"/>
      <c r="D20" s="21"/>
      <c r="E20" s="21"/>
      <c r="F20" s="21"/>
    </row>
    <row r="21">
      <c r="B21" s="21"/>
      <c r="C21" s="21"/>
      <c r="D21" s="21"/>
      <c r="E21" s="21"/>
      <c r="F21" s="21"/>
    </row>
    <row r="22">
      <c r="B22" s="21"/>
      <c r="C22" s="21"/>
      <c r="D22" s="21"/>
      <c r="E22" s="21"/>
      <c r="F22" s="21"/>
    </row>
    <row r="23">
      <c r="B23" s="21"/>
      <c r="C23" s="21"/>
      <c r="D23" s="21"/>
      <c r="E23" s="21"/>
      <c r="F23" s="21"/>
    </row>
    <row r="24">
      <c r="B24" s="21"/>
      <c r="C24" s="21"/>
      <c r="D24" s="21"/>
      <c r="E24" s="21"/>
      <c r="F24" s="21"/>
    </row>
    <row r="25">
      <c r="B25" s="21"/>
      <c r="C25" s="21"/>
      <c r="D25" s="21"/>
      <c r="E25" s="21"/>
      <c r="F25" s="21"/>
    </row>
    <row r="26">
      <c r="B26" s="21"/>
      <c r="C26" s="21"/>
      <c r="D26" s="21"/>
      <c r="E26" s="21"/>
      <c r="F26" s="21"/>
    </row>
    <row r="27">
      <c r="B27" s="21"/>
      <c r="C27" s="21"/>
      <c r="D27" s="21"/>
      <c r="E27" s="21"/>
      <c r="F27" s="21"/>
    </row>
    <row r="28">
      <c r="B28" s="21"/>
      <c r="C28" s="21"/>
      <c r="D28" s="21"/>
      <c r="E28" s="21"/>
      <c r="F28" s="21"/>
    </row>
  </sheetData>
  <mergeCells count="2">
    <mergeCell ref="B2:D2"/>
    <mergeCell ref="B12:D12"/>
  </mergeCells>
  <dataValidations>
    <dataValidation type="custom" allowBlank="1" showDropDown="1" sqref="D5:D10 D15:D19">
      <formula1>AND(ISNUMBER(D5),(NOT(OR(NOT(ISERROR(DATEVALUE(D5))), AND(ISNUMBER(D5), LEFT(CELL("format", D5))="D")))))</formula1>
    </dataValidation>
  </dataValidations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3.0"/>
    <col customWidth="1" min="4" max="4" width="9.75"/>
  </cols>
  <sheetData>
    <row r="1">
      <c r="A1" s="21"/>
      <c r="B1" s="21"/>
      <c r="C1" s="21"/>
      <c r="D1" s="21"/>
      <c r="E1" s="21"/>
    </row>
    <row r="2">
      <c r="A2" s="21"/>
      <c r="B2" s="21"/>
      <c r="E2" s="21"/>
    </row>
    <row r="3">
      <c r="A3" s="21"/>
      <c r="B3" s="22"/>
      <c r="C3" s="22"/>
      <c r="D3" s="22"/>
      <c r="E3" s="21"/>
    </row>
    <row r="4" ht="22.5" customHeight="1">
      <c r="A4" s="21"/>
      <c r="B4" s="7" t="s">
        <v>0</v>
      </c>
      <c r="C4" s="7" t="s">
        <v>1</v>
      </c>
      <c r="D4" s="7" t="s">
        <v>2</v>
      </c>
      <c r="E4" s="21"/>
    </row>
    <row r="5" ht="22.5" customHeight="1">
      <c r="A5" s="21"/>
      <c r="B5" s="23" t="s">
        <v>24</v>
      </c>
      <c r="C5" s="23" t="s">
        <v>25</v>
      </c>
      <c r="D5" s="28">
        <v>98.0</v>
      </c>
      <c r="E5" s="21"/>
    </row>
    <row r="6" ht="22.5" customHeight="1">
      <c r="A6" s="21"/>
      <c r="B6" s="23" t="s">
        <v>16</v>
      </c>
      <c r="C6" s="23" t="s">
        <v>17</v>
      </c>
      <c r="D6" s="28">
        <v>91.0</v>
      </c>
      <c r="E6" s="21"/>
    </row>
    <row r="7" ht="22.5" customHeight="1">
      <c r="A7" s="21"/>
      <c r="B7" s="23" t="s">
        <v>21</v>
      </c>
      <c r="C7" s="23" t="s">
        <v>22</v>
      </c>
      <c r="D7" s="28">
        <v>89.0</v>
      </c>
      <c r="E7" s="21"/>
    </row>
    <row r="8" ht="22.5" customHeight="1">
      <c r="A8" s="21"/>
      <c r="B8" s="23" t="s">
        <v>9</v>
      </c>
      <c r="C8" s="23" t="s">
        <v>10</v>
      </c>
      <c r="D8" s="28">
        <v>73.0</v>
      </c>
      <c r="E8" s="21"/>
    </row>
    <row r="9" ht="22.5" customHeight="1">
      <c r="A9" s="21"/>
      <c r="B9" s="23" t="s">
        <v>26</v>
      </c>
      <c r="C9" s="23" t="s">
        <v>27</v>
      </c>
      <c r="D9" s="28">
        <v>45.0</v>
      </c>
      <c r="E9" s="21"/>
    </row>
    <row r="10" ht="22.5" customHeight="1">
      <c r="A10" s="21"/>
      <c r="B10" s="23" t="s">
        <v>28</v>
      </c>
      <c r="C10" s="23" t="s">
        <v>29</v>
      </c>
      <c r="D10" s="28">
        <v>0.0</v>
      </c>
      <c r="E10" s="21"/>
    </row>
    <row r="11">
      <c r="A11" s="21"/>
      <c r="B11" s="21"/>
      <c r="C11" s="21"/>
      <c r="D11" s="21"/>
      <c r="E11" s="21"/>
    </row>
    <row r="12">
      <c r="A12" s="21"/>
      <c r="B12" s="21"/>
      <c r="E12" s="21"/>
    </row>
    <row r="13">
      <c r="A13" s="21"/>
      <c r="B13" s="22"/>
      <c r="C13" s="22"/>
      <c r="D13" s="22"/>
      <c r="E13" s="21"/>
    </row>
    <row r="14" ht="22.5" customHeight="1">
      <c r="A14" s="21"/>
      <c r="B14" s="7" t="s">
        <v>0</v>
      </c>
      <c r="C14" s="7" t="s">
        <v>1</v>
      </c>
      <c r="D14" s="7" t="s">
        <v>2</v>
      </c>
      <c r="E14" s="21"/>
    </row>
    <row r="15" ht="22.5" customHeight="1">
      <c r="A15" s="21"/>
      <c r="B15" s="23" t="s">
        <v>38</v>
      </c>
      <c r="C15" s="23" t="s">
        <v>39</v>
      </c>
      <c r="D15" s="28">
        <v>90.0</v>
      </c>
      <c r="E15" s="21"/>
    </row>
    <row r="16" ht="22.5" customHeight="1">
      <c r="A16" s="21"/>
      <c r="B16" s="23" t="s">
        <v>33</v>
      </c>
      <c r="C16" s="23" t="s">
        <v>34</v>
      </c>
      <c r="D16" s="28">
        <v>81.0</v>
      </c>
      <c r="E16" s="21"/>
    </row>
    <row r="17" ht="22.5" customHeight="1">
      <c r="A17" s="21"/>
      <c r="B17" s="23" t="s">
        <v>40</v>
      </c>
      <c r="C17" s="23" t="s">
        <v>41</v>
      </c>
      <c r="D17" s="28">
        <v>55.0</v>
      </c>
      <c r="E17" s="21"/>
    </row>
    <row r="18" ht="22.5" customHeight="1">
      <c r="A18" s="21"/>
      <c r="B18" s="23" t="s">
        <v>35</v>
      </c>
      <c r="C18" s="23" t="s">
        <v>36</v>
      </c>
      <c r="D18" s="28">
        <v>32.0</v>
      </c>
      <c r="E18" s="21"/>
    </row>
    <row r="19" ht="22.5" customHeight="1">
      <c r="A19" s="21"/>
      <c r="B19" s="23" t="s">
        <v>42</v>
      </c>
      <c r="C19" s="23" t="s">
        <v>43</v>
      </c>
      <c r="D19" s="28">
        <v>31.0</v>
      </c>
      <c r="E19" s="21"/>
    </row>
    <row r="20">
      <c r="A20" s="21"/>
      <c r="B20" s="21"/>
      <c r="C20" s="21"/>
      <c r="D20" s="21"/>
      <c r="E20" s="21"/>
    </row>
  </sheetData>
  <mergeCells count="2">
    <mergeCell ref="B2:D2"/>
    <mergeCell ref="B12:D12"/>
  </mergeCells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43.0"/>
  </cols>
  <sheetData>
    <row r="3">
      <c r="A3" s="21"/>
      <c r="B3" s="22"/>
      <c r="C3" s="22"/>
      <c r="D3" s="22"/>
      <c r="E3" s="21"/>
      <c r="F3" s="21"/>
      <c r="G3" s="21"/>
    </row>
    <row r="4" ht="22.5" customHeight="1">
      <c r="A4" s="21"/>
      <c r="B4" s="7" t="s">
        <v>0</v>
      </c>
      <c r="C4" s="7" t="s">
        <v>1</v>
      </c>
      <c r="D4" s="7" t="s">
        <v>2</v>
      </c>
      <c r="E4" s="21"/>
      <c r="F4" s="21"/>
      <c r="G4" s="21"/>
    </row>
    <row r="5" ht="22.5" customHeight="1">
      <c r="A5" s="21"/>
      <c r="B5" s="23" t="s">
        <v>9</v>
      </c>
      <c r="C5" s="23" t="s">
        <v>10</v>
      </c>
      <c r="D5" s="24">
        <v>75.0</v>
      </c>
      <c r="E5" s="21"/>
      <c r="F5" s="21"/>
      <c r="G5" s="21"/>
    </row>
    <row r="6" ht="22.5" customHeight="1">
      <c r="A6" s="21"/>
      <c r="B6" s="23" t="s">
        <v>21</v>
      </c>
      <c r="C6" s="23" t="s">
        <v>22</v>
      </c>
      <c r="D6" s="28">
        <v>72.0</v>
      </c>
      <c r="E6" s="21"/>
      <c r="F6" s="21"/>
      <c r="G6" s="21"/>
    </row>
    <row r="7" ht="22.5" customHeight="1">
      <c r="A7" s="21"/>
      <c r="B7" s="23" t="s">
        <v>24</v>
      </c>
      <c r="C7" s="23" t="s">
        <v>25</v>
      </c>
      <c r="D7" s="28">
        <v>71.0</v>
      </c>
      <c r="E7" s="21"/>
      <c r="F7" s="21"/>
      <c r="G7" s="21"/>
    </row>
    <row r="8" ht="22.5" customHeight="1">
      <c r="A8" s="21"/>
      <c r="B8" s="23" t="s">
        <v>26</v>
      </c>
      <c r="C8" s="23" t="s">
        <v>27</v>
      </c>
      <c r="D8" s="28">
        <v>70.0</v>
      </c>
      <c r="E8" s="21"/>
      <c r="F8" s="21"/>
      <c r="G8" s="21"/>
    </row>
    <row r="9" ht="22.5" customHeight="1">
      <c r="A9" s="21"/>
      <c r="B9" s="23" t="s">
        <v>16</v>
      </c>
      <c r="C9" s="23" t="s">
        <v>17</v>
      </c>
      <c r="D9" s="28">
        <v>59.0</v>
      </c>
      <c r="E9" s="21"/>
      <c r="F9" s="21"/>
      <c r="G9" s="21"/>
    </row>
    <row r="10" ht="22.5" customHeight="1">
      <c r="A10" s="21"/>
      <c r="B10" s="23" t="s">
        <v>28</v>
      </c>
      <c r="C10" s="23" t="s">
        <v>29</v>
      </c>
      <c r="D10" s="28">
        <v>55.0</v>
      </c>
      <c r="E10" s="21"/>
      <c r="F10" s="21"/>
      <c r="G10" s="21"/>
    </row>
    <row r="11">
      <c r="A11" s="21"/>
      <c r="B11" s="21"/>
      <c r="C11" s="21"/>
      <c r="D11" s="21"/>
      <c r="E11" s="21"/>
      <c r="F11" s="21"/>
      <c r="G11" s="21"/>
    </row>
    <row r="12">
      <c r="A12" s="21"/>
      <c r="B12" s="21"/>
      <c r="E12" s="21"/>
      <c r="F12" s="21"/>
      <c r="G12" s="21"/>
    </row>
    <row r="13">
      <c r="A13" s="21"/>
      <c r="B13" s="22"/>
      <c r="C13" s="22"/>
      <c r="D13" s="22"/>
      <c r="E13" s="21"/>
      <c r="F13" s="21"/>
      <c r="G13" s="21"/>
    </row>
    <row r="14" ht="22.5" customHeight="1">
      <c r="A14" s="21"/>
      <c r="B14" s="7" t="s">
        <v>0</v>
      </c>
      <c r="C14" s="7" t="s">
        <v>1</v>
      </c>
      <c r="D14" s="7" t="s">
        <v>2</v>
      </c>
      <c r="E14" s="21"/>
      <c r="F14" s="21"/>
      <c r="G14" s="21"/>
    </row>
    <row r="15" ht="22.5" customHeight="1">
      <c r="A15" s="21"/>
      <c r="B15" s="9" t="s">
        <v>38</v>
      </c>
      <c r="C15" s="9" t="s">
        <v>39</v>
      </c>
      <c r="D15" s="11">
        <v>74.0</v>
      </c>
      <c r="E15" s="21"/>
      <c r="F15" s="21"/>
      <c r="G15" s="21"/>
    </row>
    <row r="16" ht="22.5" customHeight="1">
      <c r="A16" s="21"/>
      <c r="B16" s="9" t="s">
        <v>33</v>
      </c>
      <c r="C16" s="9" t="s">
        <v>34</v>
      </c>
      <c r="D16" s="11">
        <v>73.0</v>
      </c>
      <c r="E16" s="21"/>
      <c r="F16" s="21"/>
      <c r="G16" s="21"/>
    </row>
    <row r="17" ht="22.5" customHeight="1">
      <c r="A17" s="21"/>
      <c r="B17" s="9" t="s">
        <v>40</v>
      </c>
      <c r="C17" s="9" t="s">
        <v>41</v>
      </c>
      <c r="D17" s="11">
        <v>71.0</v>
      </c>
      <c r="E17" s="21"/>
      <c r="F17" s="21"/>
      <c r="G17" s="21"/>
    </row>
    <row r="18" ht="22.5" customHeight="1">
      <c r="A18" s="21"/>
      <c r="B18" s="9" t="s">
        <v>35</v>
      </c>
      <c r="C18" s="9" t="s">
        <v>36</v>
      </c>
      <c r="D18" s="11">
        <v>70.0</v>
      </c>
      <c r="E18" s="21"/>
      <c r="F18" s="21"/>
      <c r="G18" s="21"/>
    </row>
    <row r="19" ht="22.5" customHeight="1">
      <c r="A19" s="21"/>
      <c r="B19" s="9" t="s">
        <v>42</v>
      </c>
      <c r="C19" s="9" t="s">
        <v>43</v>
      </c>
      <c r="D19" s="11">
        <v>51.0</v>
      </c>
      <c r="E19" s="21"/>
      <c r="F19" s="21"/>
      <c r="G19" s="21"/>
    </row>
    <row r="20">
      <c r="A20" s="21"/>
      <c r="B20" s="21"/>
      <c r="C20" s="21"/>
      <c r="D20" s="21"/>
      <c r="E20" s="21"/>
      <c r="F20" s="21"/>
      <c r="G20" s="21"/>
    </row>
    <row r="21">
      <c r="A21" s="21"/>
      <c r="B21" s="21"/>
      <c r="C21" s="21"/>
      <c r="D21" s="21"/>
      <c r="E21" s="21"/>
      <c r="F21" s="21"/>
      <c r="G21" s="21"/>
    </row>
    <row r="22">
      <c r="A22" s="21"/>
      <c r="B22" s="21"/>
      <c r="C22" s="21"/>
      <c r="D22" s="21"/>
      <c r="E22" s="21"/>
      <c r="F22" s="21"/>
      <c r="G22" s="21"/>
    </row>
    <row r="23">
      <c r="A23" s="21"/>
      <c r="B23" s="21"/>
      <c r="C23" s="21"/>
      <c r="D23" s="21"/>
      <c r="E23" s="21"/>
      <c r="F23" s="21"/>
      <c r="G23" s="21"/>
    </row>
    <row r="24">
      <c r="A24" s="21"/>
      <c r="B24" s="21"/>
      <c r="C24" s="21"/>
      <c r="D24" s="21"/>
      <c r="E24" s="21"/>
      <c r="F24" s="21"/>
      <c r="G24" s="21"/>
    </row>
    <row r="25">
      <c r="A25" s="21"/>
      <c r="B25" s="21"/>
      <c r="C25" s="21"/>
      <c r="D25" s="21"/>
      <c r="E25" s="21"/>
      <c r="F25" s="21"/>
      <c r="G25" s="21"/>
    </row>
  </sheetData>
  <mergeCells count="2">
    <mergeCell ref="B2:D2"/>
    <mergeCell ref="B12:D12"/>
  </mergeCells>
  <drawing r:id="rId1"/>
  <tableParts count="2">
    <tablePart r:id="rId4"/>
    <tablePart r:id="rId5"/>
  </tableParts>
</worksheet>
</file>